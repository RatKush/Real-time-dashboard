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Real-time-dashboard-main/"/>
    </mc:Choice>
  </mc:AlternateContent>
  <xr:revisionPtr revIDLastSave="1" documentId="13_ncr:1_{2042ED26-CF3E-4F37-82CB-5E33BCA9D7CE}" xr6:coauthVersionLast="47" xr6:coauthVersionMax="47" xr10:uidLastSave="{FE62F460-5508-4DF7-B03E-B048F316A3D3}"/>
  <bookViews>
    <workbookView minimized="1" xWindow="61785" yWindow="1875" windowWidth="21600" windowHeight="11115" tabRatio="692" xr2:uid="{E3CA2F8B-1730-46E3-A73B-0C0A79AFDE68}"/>
  </bookViews>
  <sheets>
    <sheet name="SR3" sheetId="3" r:id="rId1"/>
    <sheet name="ER" sheetId="6" r:id="rId2"/>
    <sheet name="SO3" sheetId="5" r:id="rId3"/>
    <sheet name="SA3" sheetId="11" r:id="rId4"/>
    <sheet name="CRA" sheetId="9" r:id="rId5"/>
    <sheet name="SR3 vs SO3" sheetId="23" r:id="rId6"/>
    <sheet name="SR3 vs ER" sheetId="24" r:id="rId7"/>
    <sheet name="ER vs SO3" sheetId="25" r:id="rId8"/>
    <sheet name="ER3" sheetId="10" r:id="rId9"/>
    <sheet name="EMP" sheetId="12" r:id="rId10"/>
    <sheet name="MPC" sheetId="13" r:id="rId11"/>
    <sheet name="VIX" sheetId="14" r:id="rId12"/>
    <sheet name="VOXX" sheetId="15" r:id="rId13"/>
    <sheet name="SR3 n-qtr" sheetId="17" r:id="rId14"/>
    <sheet name="ER n-qtr" sheetId="18" r:id="rId15"/>
    <sheet name="SR1" sheetId="8" r:id="rId16"/>
    <sheet name="ZQ" sheetId="7" r:id="rId17"/>
    <sheet name="SZI0" sheetId="21" r:id="rId18"/>
    <sheet name="cont list_bg" sheetId="2" r:id="rId19"/>
    <sheet name="MEETS_bg" sheetId="20" r:id="rId20"/>
    <sheet name="ratio_bg" sheetId="22" r:id="rId21"/>
  </sheets>
  <externalReferences>
    <externalReference r:id="rId22"/>
    <externalReference r:id="rId23"/>
    <externalReference r:id="rId24"/>
  </externalReferences>
  <definedNames>
    <definedName name="Date_1">OFFSET(#REF!,,,1,#REF!)</definedName>
    <definedName name="margem_di">'[1]Margem Teorica Maxima'!$I$4:$M$45</definedName>
    <definedName name="S_1">OFFSET([2]backgroundcixn!$D$10:$KY$10,,,1,[2]CIXN!$G$2)</definedName>
    <definedName name="S_10">OFFSET([2]backgroundcixn!$D$60:$KY$60,,,1,[2]CIXN!$G$2)</definedName>
    <definedName name="S_11">OFFSET([2]backgroundcixn!$D$70:$KY$70,,,1,[2]CIXN!$G$2)</definedName>
    <definedName name="S_12">OFFSET([2]backgroundcixn!$D$80:$KY$80,,,1,[2]CIXN!$G$2)</definedName>
    <definedName name="S_13">OFFSET([2]backgroundcixn!$D$130:$KY$130,,,1,[2]CIXN!$G$2)</definedName>
    <definedName name="S_14">OFFSET([2]backgroundcixn!$D$140:$KY$140,,,1,[2]CIXN!$G$2)</definedName>
    <definedName name="S_15">OFFSET([2]backgroundcixn!$D$150:$KY$150,,,1,[2]CIXN!$G$2)</definedName>
    <definedName name="S_16">OFFSET([2]backgroundcixn!$D$160:$KY$160,,,1,[2]CIXN!$G$2)</definedName>
    <definedName name="S_2">OFFSET([2]backgroundcixn!$D$20:$KY$20,,,1,[2]CIXN!$G$2)</definedName>
    <definedName name="S_3">OFFSET([2]backgroundcixn!$D$30:$KY$30,,,1,[2]CIXN!$G$2)</definedName>
    <definedName name="S_4">OFFSET([2]backgroundcixn!$D$40:$KY$40,,,1,[2]CIXN!$G$2)</definedName>
    <definedName name="S_5">OFFSET([2]backgroundcixn!$D$90:$KY$90,,,1,[2]CIXN!$G$2)</definedName>
    <definedName name="S_6">OFFSET([2]backgroundcixn!$D$100:$KY$100,,,1,[2]CIXN!$G$2)</definedName>
    <definedName name="S_7">OFFSET([2]backgroundcixn!$D$110:$KY$110,,,1,[2]CIXN!$G$2)</definedName>
    <definedName name="S_8">OFFSET([2]backgroundcixn!$D$120:$KY$120,,,1,[2]CIXN!$G$2)</definedName>
    <definedName name="S_9">OFFSET([2]backgroundcixn!$D$50:$KY$50,,,1,[2]CIXN!$G$2)</definedName>
    <definedName name="var">OFFSET('[3]COD data'!XEV1048573, 0, 0, 1, '[3]COD data'!XEX1048565)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W3" i="2" l="1" a="1"/>
  <c r="W3" i="2" s="1"/>
  <c r="W25" i="2" s="1"/>
  <c r="A3" i="12" s="1"/>
  <c r="V3" i="2" a="1"/>
  <c r="V3" i="2" s="1"/>
  <c r="V25" i="2" s="1"/>
  <c r="A3" i="13" s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6" i="2"/>
  <c r="V35" i="2" l="1"/>
  <c r="V34" i="2"/>
  <c r="V33" i="2"/>
  <c r="A11" i="13" s="1"/>
  <c r="V32" i="2"/>
  <c r="A10" i="13" s="1"/>
  <c r="V31" i="2"/>
  <c r="A9" i="13" s="1"/>
  <c r="V28" i="2"/>
  <c r="A6" i="13" s="1"/>
  <c r="V27" i="2"/>
  <c r="A5" i="13" s="1"/>
  <c r="V26" i="2"/>
  <c r="A4" i="13" s="1"/>
  <c r="V36" i="2"/>
  <c r="V37" i="2"/>
  <c r="W44" i="2"/>
  <c r="W43" i="2"/>
  <c r="W42" i="2"/>
  <c r="W41" i="2"/>
  <c r="W40" i="2"/>
  <c r="W39" i="2"/>
  <c r="W36" i="2"/>
  <c r="W35" i="2"/>
  <c r="W33" i="2"/>
  <c r="A11" i="12" s="1"/>
  <c r="V44" i="2"/>
  <c r="W32" i="2"/>
  <c r="A10" i="12" s="1"/>
  <c r="V43" i="2"/>
  <c r="W31" i="2"/>
  <c r="A9" i="12" s="1"/>
  <c r="W30" i="2"/>
  <c r="A8" i="12" s="1"/>
  <c r="W29" i="2"/>
  <c r="A7" i="12" s="1"/>
  <c r="W34" i="2"/>
  <c r="V42" i="2"/>
  <c r="V41" i="2"/>
  <c r="V40" i="2"/>
  <c r="W28" i="2"/>
  <c r="A6" i="12" s="1"/>
  <c r="V39" i="2"/>
  <c r="W27" i="2"/>
  <c r="A5" i="12" s="1"/>
  <c r="V38" i="2"/>
  <c r="W26" i="2"/>
  <c r="A4" i="12" s="1"/>
  <c r="V30" i="2"/>
  <c r="A8" i="13" s="1"/>
  <c r="V29" i="2"/>
  <c r="A7" i="13" s="1"/>
  <c r="W38" i="2"/>
  <c r="W37" i="2"/>
  <c r="Q2" i="2"/>
  <c r="N6" i="2"/>
  <c r="O6" i="2" s="1"/>
  <c r="P6" i="2" s="1"/>
  <c r="Q7" i="2" s="1"/>
  <c r="Q6" i="2"/>
  <c r="N7" i="2"/>
  <c r="O7" i="2" s="1"/>
  <c r="P7" i="2" s="1"/>
  <c r="Q8" i="2" s="1"/>
  <c r="N8" i="2"/>
  <c r="O8" i="2" s="1"/>
  <c r="P8" i="2" s="1"/>
  <c r="Q9" i="2" s="1"/>
  <c r="N9" i="2"/>
  <c r="O9" i="2" s="1"/>
  <c r="P9" i="2" s="1"/>
  <c r="Q10" i="2" s="1"/>
  <c r="N10" i="2"/>
  <c r="O10" i="2" s="1"/>
  <c r="P10" i="2" s="1"/>
  <c r="Q11" i="2" s="1"/>
  <c r="N11" i="2"/>
  <c r="O11" i="2" s="1"/>
  <c r="P11" i="2" s="1"/>
  <c r="Q12" i="2" s="1"/>
  <c r="N12" i="2"/>
  <c r="O12" i="2" s="1"/>
  <c r="P12" i="2" s="1"/>
  <c r="Q13" i="2" s="1"/>
  <c r="N13" i="2"/>
  <c r="O13" i="2" s="1"/>
  <c r="P13" i="2" s="1"/>
  <c r="Q14" i="2" s="1"/>
  <c r="N14" i="2"/>
  <c r="O14" i="2" s="1"/>
  <c r="P14" i="2" s="1"/>
  <c r="Q15" i="2" s="1"/>
  <c r="N15" i="2"/>
  <c r="O15" i="2" s="1"/>
  <c r="P15" i="2" s="1"/>
  <c r="Q16" i="2" s="1"/>
  <c r="N16" i="2"/>
  <c r="O16" i="2" s="1"/>
  <c r="P16" i="2" s="1"/>
  <c r="Q17" i="2" s="1"/>
  <c r="N17" i="2"/>
  <c r="O17" i="2" s="1"/>
  <c r="P17" i="2" s="1"/>
  <c r="Q18" i="2" s="1"/>
  <c r="N18" i="2"/>
  <c r="O18" i="2" s="1"/>
  <c r="P18" i="2" s="1"/>
  <c r="Q19" i="2" s="1"/>
  <c r="N19" i="2"/>
  <c r="O19" i="2" s="1"/>
  <c r="P19" i="2" s="1"/>
  <c r="Q20" i="2" s="1"/>
  <c r="N20" i="2"/>
  <c r="O20" i="2" s="1"/>
  <c r="P20" i="2" s="1"/>
  <c r="Q21" i="2" s="1"/>
  <c r="N21" i="2"/>
  <c r="O21" i="2" s="1"/>
  <c r="P21" i="2" s="1"/>
  <c r="Q22" i="2" s="1"/>
  <c r="N22" i="2"/>
  <c r="O22" i="2" s="1"/>
  <c r="P22" i="2" s="1"/>
  <c r="Q23" i="2" s="1"/>
  <c r="N23" i="2"/>
  <c r="O23" i="2" s="1"/>
  <c r="P23" i="2" s="1"/>
  <c r="Q24" i="2" s="1"/>
  <c r="N24" i="2"/>
  <c r="O24" i="2" s="1"/>
  <c r="P24" i="2" s="1"/>
  <c r="Q25" i="2" s="1"/>
  <c r="N25" i="2"/>
  <c r="O25" i="2" s="1"/>
  <c r="P25" i="2" s="1"/>
  <c r="Q26" i="2" s="1"/>
  <c r="N26" i="2"/>
  <c r="O26" i="2" s="1"/>
  <c r="P26" i="2" s="1"/>
  <c r="Q27" i="2" s="1"/>
  <c r="N27" i="2"/>
  <c r="O27" i="2" s="1"/>
  <c r="P27" i="2" s="1"/>
  <c r="Q28" i="2" s="1"/>
  <c r="N28" i="2"/>
  <c r="O28" i="2" s="1"/>
  <c r="P28" i="2" s="1"/>
  <c r="Q29" i="2" s="1"/>
  <c r="N29" i="2"/>
  <c r="O29" i="2" s="1"/>
  <c r="P29" i="2" s="1"/>
  <c r="Q30" i="2" s="1"/>
  <c r="N30" i="2"/>
  <c r="O30" i="2" s="1"/>
  <c r="P30" i="2" s="1"/>
  <c r="Q31" i="2" s="1"/>
  <c r="N31" i="2"/>
  <c r="O31" i="2" s="1"/>
  <c r="P31" i="2" s="1"/>
  <c r="Q32" i="2" s="1"/>
  <c r="N32" i="2"/>
  <c r="O32" i="2" s="1"/>
  <c r="P32" i="2" s="1"/>
  <c r="Q33" i="2" s="1"/>
  <c r="N33" i="2"/>
  <c r="O33" i="2" s="1"/>
  <c r="P33" i="2" s="1"/>
  <c r="Q34" i="2" s="1"/>
  <c r="N34" i="2"/>
  <c r="O34" i="2" s="1"/>
  <c r="P34" i="2" s="1"/>
  <c r="Q35" i="2" s="1"/>
  <c r="N35" i="2"/>
  <c r="O35" i="2" s="1"/>
  <c r="P35" i="2" s="1"/>
  <c r="Q36" i="2" s="1"/>
  <c r="N36" i="2"/>
  <c r="O36" i="2" s="1"/>
  <c r="P36" i="2" s="1"/>
  <c r="Q37" i="2" s="1"/>
  <c r="N37" i="2"/>
  <c r="O37" i="2" s="1"/>
  <c r="P37" i="2" s="1"/>
  <c r="Q38" i="2" s="1"/>
  <c r="N38" i="2"/>
  <c r="O38" i="2" s="1"/>
  <c r="P38" i="2" s="1"/>
  <c r="Q39" i="2" s="1"/>
  <c r="N39" i="2"/>
  <c r="O39" i="2" s="1"/>
  <c r="P39" i="2" s="1"/>
  <c r="Q40" i="2" s="1"/>
  <c r="N40" i="2"/>
  <c r="O40" i="2" s="1"/>
  <c r="P40" i="2" s="1"/>
  <c r="Q41" i="2" s="1"/>
  <c r="N41" i="2"/>
  <c r="O41" i="2" s="1"/>
  <c r="P41" i="2" s="1"/>
  <c r="Q42" i="2" s="1"/>
  <c r="N42" i="2"/>
  <c r="O42" i="2" s="1"/>
  <c r="P42" i="2" s="1"/>
  <c r="Q43" i="2" s="1"/>
  <c r="N43" i="2"/>
  <c r="O43" i="2" s="1"/>
  <c r="P43" i="2" s="1"/>
  <c r="Q44" i="2" s="1"/>
  <c r="N44" i="2"/>
  <c r="O44" i="2" s="1"/>
  <c r="P44" i="2" s="1"/>
  <c r="Q45" i="2" s="1"/>
  <c r="N45" i="2"/>
  <c r="O45" i="2" s="1"/>
  <c r="P45" i="2" s="1"/>
  <c r="Q46" i="2" s="1"/>
  <c r="N46" i="2"/>
  <c r="O46" i="2" s="1"/>
  <c r="P46" i="2" s="1"/>
  <c r="Q47" i="2" s="1"/>
  <c r="N47" i="2"/>
  <c r="O47" i="2" s="1"/>
  <c r="P47" i="2" s="1"/>
  <c r="Q48" i="2" s="1"/>
  <c r="N48" i="2"/>
  <c r="O48" i="2" s="1"/>
  <c r="P48" i="2" s="1"/>
  <c r="Q49" i="2" s="1"/>
  <c r="N49" i="2"/>
  <c r="O49" i="2" s="1"/>
  <c r="P49" i="2" s="1"/>
  <c r="Q50" i="2" s="1"/>
  <c r="N50" i="2"/>
  <c r="O50" i="2" s="1"/>
  <c r="P50" i="2" s="1"/>
  <c r="Q51" i="2" s="1"/>
  <c r="N51" i="2"/>
  <c r="O51" i="2" s="1"/>
  <c r="P51" i="2" s="1"/>
  <c r="Q52" i="2" s="1"/>
  <c r="N52" i="2"/>
  <c r="O52" i="2" s="1"/>
  <c r="P52" i="2" s="1"/>
  <c r="Q53" i="2" s="1"/>
  <c r="N53" i="2"/>
  <c r="O53" i="2" s="1"/>
  <c r="P53" i="2" s="1"/>
  <c r="Q54" i="2" s="1"/>
  <c r="N54" i="2"/>
  <c r="O54" i="2" s="1"/>
  <c r="P54" i="2" s="1"/>
  <c r="Q55" i="2" s="1"/>
  <c r="N55" i="2"/>
  <c r="O55" i="2" s="1"/>
  <c r="P55" i="2" s="1"/>
  <c r="Q56" i="2" s="1"/>
  <c r="N56" i="2"/>
  <c r="O56" i="2" s="1"/>
  <c r="P56" i="2" s="1"/>
  <c r="Q57" i="2" s="1"/>
  <c r="N57" i="2"/>
  <c r="O57" i="2" s="1"/>
  <c r="P57" i="2" s="1"/>
  <c r="Q58" i="2" s="1"/>
  <c r="N58" i="2"/>
  <c r="O58" i="2" s="1"/>
  <c r="P58" i="2" s="1"/>
  <c r="Q59" i="2" s="1"/>
  <c r="N59" i="2"/>
  <c r="O59" i="2" s="1"/>
  <c r="P59" i="2" s="1"/>
  <c r="Q60" i="2" s="1"/>
  <c r="N60" i="2"/>
  <c r="O60" i="2" s="1"/>
  <c r="P60" i="2" s="1"/>
  <c r="Q61" i="2" s="1"/>
  <c r="N61" i="2"/>
  <c r="O61" i="2" s="1"/>
  <c r="P61" i="2" s="1"/>
  <c r="Q62" i="2" s="1"/>
  <c r="N62" i="2"/>
  <c r="O62" i="2" s="1"/>
  <c r="P62" i="2" s="1"/>
  <c r="Q63" i="2" s="1"/>
  <c r="N63" i="2"/>
  <c r="O63" i="2" s="1"/>
  <c r="P63" i="2" s="1"/>
  <c r="Q64" i="2" s="1"/>
  <c r="N64" i="2"/>
  <c r="O64" i="2" s="1"/>
  <c r="P64" i="2" s="1"/>
  <c r="Q65" i="2" s="1"/>
  <c r="N65" i="2"/>
  <c r="O65" i="2" s="1"/>
  <c r="P65" i="2" s="1"/>
  <c r="Q66" i="2" s="1"/>
  <c r="N66" i="2"/>
  <c r="O66" i="2" s="1"/>
  <c r="P66" i="2" s="1"/>
  <c r="Q67" i="2" s="1"/>
  <c r="N67" i="2"/>
  <c r="O67" i="2" s="1"/>
  <c r="P67" i="2" s="1"/>
  <c r="Q68" i="2" s="1"/>
  <c r="N68" i="2"/>
  <c r="O68" i="2" s="1"/>
  <c r="P68" i="2" s="1"/>
  <c r="Q69" i="2" s="1"/>
  <c r="N69" i="2"/>
  <c r="O69" i="2" s="1"/>
  <c r="P69" i="2" s="1"/>
  <c r="Q70" i="2" s="1"/>
  <c r="N70" i="2"/>
  <c r="O70" i="2" s="1"/>
  <c r="P70" i="2" s="1"/>
  <c r="Q71" i="2" s="1"/>
  <c r="N71" i="2"/>
  <c r="O71" i="2" s="1"/>
  <c r="P71" i="2" s="1"/>
  <c r="Q72" i="2" s="1"/>
  <c r="N72" i="2"/>
  <c r="O72" i="2" s="1"/>
  <c r="P72" i="2" s="1"/>
  <c r="Q73" i="2" s="1"/>
  <c r="N73" i="2"/>
  <c r="O73" i="2" s="1"/>
  <c r="P73" i="2" s="1"/>
  <c r="Q74" i="2" s="1"/>
  <c r="N74" i="2"/>
  <c r="O74" i="2" s="1"/>
  <c r="P74" i="2" s="1"/>
  <c r="Q75" i="2" s="1"/>
  <c r="N75" i="2"/>
  <c r="O75" i="2" s="1"/>
  <c r="P75" i="2" s="1"/>
  <c r="Q76" i="2" s="1"/>
  <c r="N76" i="2"/>
  <c r="O76" i="2" s="1"/>
  <c r="P76" i="2" s="1"/>
  <c r="Q77" i="2" s="1"/>
  <c r="N77" i="2"/>
  <c r="O77" i="2" s="1"/>
  <c r="P77" i="2" s="1"/>
  <c r="Q78" i="2" s="1"/>
  <c r="N78" i="2"/>
  <c r="O78" i="2" s="1"/>
  <c r="P78" i="2" s="1"/>
  <c r="Q79" i="2" s="1"/>
  <c r="N79" i="2"/>
  <c r="O79" i="2" s="1"/>
  <c r="P79" i="2" s="1"/>
  <c r="Q80" i="2" s="1"/>
  <c r="N80" i="2"/>
  <c r="O80" i="2" s="1"/>
  <c r="P80" i="2" s="1"/>
  <c r="Q81" i="2" s="1"/>
  <c r="N81" i="2"/>
  <c r="O81" i="2" s="1"/>
  <c r="P81" i="2" s="1"/>
  <c r="Q82" i="2" s="1"/>
  <c r="N82" i="2"/>
  <c r="O82" i="2" s="1"/>
  <c r="P82" i="2" s="1"/>
  <c r="Q83" i="2" s="1"/>
  <c r="N83" i="2"/>
  <c r="O83" i="2" s="1"/>
  <c r="P83" i="2" s="1"/>
  <c r="Q84" i="2" s="1"/>
  <c r="N84" i="2"/>
  <c r="O84" i="2" s="1"/>
  <c r="P84" i="2" s="1"/>
  <c r="Q85" i="2" s="1"/>
  <c r="N85" i="2"/>
  <c r="O85" i="2" s="1"/>
  <c r="P85" i="2" s="1"/>
  <c r="Q86" i="2" s="1"/>
  <c r="N86" i="2"/>
  <c r="O86" i="2" s="1"/>
  <c r="P86" i="2" s="1"/>
  <c r="Q87" i="2" s="1"/>
  <c r="N87" i="2"/>
  <c r="O87" i="2" s="1"/>
  <c r="P87" i="2" s="1"/>
  <c r="Q88" i="2" s="1"/>
  <c r="N88" i="2"/>
  <c r="O88" i="2" s="1"/>
  <c r="P88" i="2" s="1"/>
  <c r="Q89" i="2" s="1"/>
  <c r="N89" i="2"/>
  <c r="O89" i="2" s="1"/>
  <c r="P89" i="2" s="1"/>
  <c r="Q90" i="2" s="1"/>
  <c r="N90" i="2"/>
  <c r="O90" i="2" s="1"/>
  <c r="P90" i="2" s="1"/>
  <c r="Q91" i="2" s="1"/>
  <c r="N91" i="2"/>
  <c r="O91" i="2" s="1"/>
  <c r="P91" i="2" s="1"/>
  <c r="Q92" i="2" s="1"/>
  <c r="N92" i="2"/>
  <c r="O92" i="2" s="1"/>
  <c r="P92" i="2" s="1"/>
  <c r="Q93" i="2" s="1"/>
  <c r="N93" i="2"/>
  <c r="O93" i="2" s="1"/>
  <c r="P93" i="2" s="1"/>
  <c r="Q94" i="2" s="1"/>
  <c r="N94" i="2"/>
  <c r="O94" i="2" s="1"/>
  <c r="P94" i="2" s="1"/>
  <c r="Q95" i="2" s="1"/>
  <c r="N95" i="2"/>
  <c r="O95" i="2" s="1"/>
  <c r="P95" i="2" s="1"/>
  <c r="Q96" i="2" s="1"/>
  <c r="N96" i="2"/>
  <c r="O96" i="2" s="1"/>
  <c r="P96" i="2" s="1"/>
  <c r="Q97" i="2" s="1"/>
  <c r="N97" i="2"/>
  <c r="O97" i="2" s="1"/>
  <c r="P97" i="2" s="1"/>
  <c r="Q98" i="2" s="1"/>
  <c r="N98" i="2"/>
  <c r="O98" i="2" s="1"/>
  <c r="P98" i="2" s="1"/>
  <c r="Q99" i="2" s="1"/>
  <c r="N99" i="2"/>
  <c r="O99" i="2" s="1"/>
  <c r="P99" i="2" s="1"/>
  <c r="Q100" i="2" s="1"/>
  <c r="N100" i="2"/>
  <c r="O100" i="2" s="1"/>
  <c r="P100" i="2" s="1"/>
  <c r="Q101" i="2" s="1"/>
  <c r="N101" i="2"/>
  <c r="O101" i="2" s="1"/>
  <c r="P101" i="2" s="1"/>
  <c r="Q102" i="2" s="1"/>
  <c r="N102" i="2"/>
  <c r="O102" i="2" s="1"/>
  <c r="P102" i="2" s="1"/>
  <c r="Q103" i="2" s="1"/>
  <c r="N103" i="2"/>
  <c r="O103" i="2" s="1"/>
  <c r="P103" i="2" s="1"/>
  <c r="Q104" i="2" s="1"/>
  <c r="N104" i="2"/>
  <c r="O104" i="2" s="1"/>
  <c r="P104" i="2" s="1"/>
  <c r="Q105" i="2" s="1"/>
  <c r="N105" i="2"/>
  <c r="O105" i="2" s="1"/>
  <c r="P105" i="2" s="1"/>
  <c r="Q106" i="2" s="1"/>
  <c r="N106" i="2"/>
  <c r="O106" i="2" s="1"/>
  <c r="P106" i="2" s="1"/>
  <c r="Q107" i="2" s="1"/>
  <c r="N107" i="2"/>
  <c r="O107" i="2" s="1"/>
  <c r="P107" i="2" s="1"/>
  <c r="Q108" i="2" s="1"/>
  <c r="N108" i="2"/>
  <c r="O108" i="2" s="1"/>
  <c r="P108" i="2" s="1"/>
  <c r="Q109" i="2" s="1"/>
  <c r="N109" i="2"/>
  <c r="O109" i="2" s="1"/>
  <c r="P109" i="2" s="1"/>
  <c r="Q110" i="2" s="1"/>
  <c r="N110" i="2"/>
  <c r="O110" i="2" s="1"/>
  <c r="P110" i="2" s="1"/>
  <c r="Q111" i="2" s="1"/>
  <c r="N111" i="2"/>
  <c r="O111" i="2" s="1"/>
  <c r="P111" i="2" s="1"/>
  <c r="Q112" i="2" s="1"/>
  <c r="N112" i="2"/>
  <c r="O112" i="2" s="1"/>
  <c r="P112" i="2" s="1"/>
  <c r="Q113" i="2" s="1"/>
  <c r="N113" i="2"/>
  <c r="O113" i="2" s="1"/>
  <c r="P113" i="2" s="1"/>
  <c r="Q114" i="2" s="1"/>
  <c r="N114" i="2"/>
  <c r="O114" i="2" s="1"/>
  <c r="P114" i="2" s="1"/>
  <c r="Q115" i="2" s="1"/>
  <c r="N115" i="2"/>
  <c r="O115" i="2" s="1"/>
  <c r="P115" i="2" s="1"/>
  <c r="Q116" i="2" s="1"/>
  <c r="N116" i="2"/>
  <c r="O116" i="2" s="1"/>
  <c r="P116" i="2" s="1"/>
  <c r="Q117" i="2" s="1"/>
  <c r="N117" i="2"/>
  <c r="O117" i="2" s="1"/>
  <c r="P117" i="2" s="1"/>
  <c r="Q118" i="2" s="1"/>
  <c r="N118" i="2"/>
  <c r="O118" i="2" s="1"/>
  <c r="P118" i="2" s="1"/>
  <c r="Q119" i="2" s="1"/>
  <c r="N119" i="2"/>
  <c r="O119" i="2" s="1"/>
  <c r="P119" i="2" s="1"/>
  <c r="Q120" i="2" s="1"/>
  <c r="N120" i="2"/>
  <c r="O120" i="2" s="1"/>
  <c r="P120" i="2" s="1"/>
  <c r="Q121" i="2" s="1"/>
  <c r="N121" i="2"/>
  <c r="O121" i="2" s="1"/>
  <c r="P121" i="2" s="1"/>
  <c r="Q122" i="2" s="1"/>
  <c r="N122" i="2"/>
  <c r="O122" i="2" s="1"/>
  <c r="P122" i="2" s="1"/>
  <c r="Q123" i="2" s="1"/>
  <c r="N123" i="2"/>
  <c r="O123" i="2" s="1"/>
  <c r="P123" i="2" s="1"/>
  <c r="Q124" i="2" s="1"/>
  <c r="N124" i="2"/>
  <c r="O124" i="2" s="1"/>
  <c r="P124" i="2" s="1"/>
  <c r="Q125" i="2" s="1"/>
  <c r="N125" i="2"/>
  <c r="O125" i="2" s="1"/>
  <c r="P125" i="2" s="1"/>
  <c r="Q126" i="2" s="1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E63" i="2"/>
  <c r="A63" i="2"/>
  <c r="I62" i="2"/>
  <c r="E62" i="2"/>
  <c r="A62" i="2"/>
  <c r="I61" i="2"/>
  <c r="E61" i="2"/>
  <c r="A61" i="2"/>
  <c r="I60" i="2"/>
  <c r="E60" i="2"/>
  <c r="A60" i="2"/>
  <c r="I59" i="2"/>
  <c r="E59" i="2"/>
  <c r="A59" i="2"/>
  <c r="I58" i="2"/>
  <c r="E58" i="2"/>
  <c r="A58" i="2"/>
  <c r="I57" i="2"/>
  <c r="E57" i="2"/>
  <c r="A57" i="2"/>
  <c r="I56" i="2"/>
  <c r="E56" i="2"/>
  <c r="A56" i="2"/>
  <c r="I55" i="2"/>
  <c r="E55" i="2"/>
  <c r="A55" i="2"/>
  <c r="I54" i="2"/>
  <c r="E54" i="2"/>
  <c r="A54" i="2"/>
  <c r="I53" i="2"/>
  <c r="E53" i="2"/>
  <c r="A53" i="2"/>
  <c r="I52" i="2"/>
  <c r="E52" i="2"/>
  <c r="A52" i="2"/>
  <c r="I51" i="2"/>
  <c r="E51" i="2"/>
  <c r="A51" i="2"/>
  <c r="I50" i="2"/>
  <c r="E50" i="2"/>
  <c r="A50" i="2"/>
  <c r="I49" i="2"/>
  <c r="E49" i="2"/>
  <c r="A49" i="2"/>
  <c r="I48" i="2"/>
  <c r="E48" i="2"/>
  <c r="A48" i="2"/>
  <c r="I47" i="2"/>
  <c r="E47" i="2"/>
  <c r="A47" i="2"/>
  <c r="I46" i="2"/>
  <c r="E46" i="2"/>
  <c r="A46" i="2"/>
  <c r="I45" i="2"/>
  <c r="E45" i="2"/>
  <c r="A45" i="2"/>
  <c r="I44" i="2"/>
  <c r="E44" i="2"/>
  <c r="A44" i="2"/>
  <c r="I43" i="2"/>
  <c r="E43" i="2"/>
  <c r="A43" i="2"/>
  <c r="I42" i="2"/>
  <c r="E42" i="2"/>
  <c r="A42" i="2"/>
  <c r="I41" i="2"/>
  <c r="E41" i="2"/>
  <c r="A41" i="2"/>
  <c r="I40" i="2"/>
  <c r="E40" i="2"/>
  <c r="A40" i="2"/>
  <c r="I39" i="2"/>
  <c r="E39" i="2"/>
  <c r="A39" i="2"/>
  <c r="I38" i="2"/>
  <c r="E38" i="2"/>
  <c r="A38" i="2"/>
  <c r="I37" i="2"/>
  <c r="E37" i="2"/>
  <c r="A37" i="2"/>
  <c r="I36" i="2"/>
  <c r="E36" i="2"/>
  <c r="A36" i="2"/>
  <c r="I35" i="2"/>
  <c r="E35" i="2"/>
  <c r="A35" i="2"/>
  <c r="I34" i="2"/>
  <c r="E34" i="2"/>
  <c r="A34" i="2"/>
  <c r="I33" i="2"/>
  <c r="E33" i="2"/>
  <c r="A33" i="2"/>
  <c r="I32" i="2"/>
  <c r="E32" i="2"/>
  <c r="A32" i="2"/>
  <c r="I31" i="2"/>
  <c r="E31" i="2"/>
  <c r="A31" i="2"/>
  <c r="I30" i="2"/>
  <c r="E30" i="2"/>
  <c r="A30" i="2"/>
  <c r="I29" i="2"/>
  <c r="E29" i="2"/>
  <c r="A29" i="2"/>
  <c r="I28" i="2"/>
  <c r="E28" i="2"/>
  <c r="A28" i="2"/>
  <c r="I27" i="2"/>
  <c r="E27" i="2"/>
  <c r="A27" i="2"/>
  <c r="I26" i="2"/>
  <c r="E26" i="2"/>
  <c r="A26" i="2"/>
  <c r="I25" i="2"/>
  <c r="E25" i="2"/>
  <c r="A25" i="2"/>
  <c r="I24" i="2"/>
  <c r="E24" i="2"/>
  <c r="A24" i="2"/>
  <c r="I23" i="2"/>
  <c r="E23" i="2"/>
  <c r="A23" i="2"/>
  <c r="I22" i="2"/>
  <c r="E22" i="2"/>
  <c r="A22" i="2"/>
  <c r="I21" i="2"/>
  <c r="E21" i="2"/>
  <c r="A21" i="2"/>
  <c r="I20" i="2"/>
  <c r="E20" i="2"/>
  <c r="A20" i="2"/>
  <c r="I19" i="2"/>
  <c r="E19" i="2"/>
  <c r="A19" i="2"/>
  <c r="I18" i="2"/>
  <c r="E18" i="2"/>
  <c r="A18" i="2"/>
  <c r="I17" i="2"/>
  <c r="E17" i="2"/>
  <c r="A17" i="2"/>
  <c r="I16" i="2"/>
  <c r="E16" i="2"/>
  <c r="A16" i="2"/>
  <c r="I15" i="2"/>
  <c r="E15" i="2"/>
  <c r="A15" i="2"/>
  <c r="I14" i="2"/>
  <c r="E14" i="2"/>
  <c r="A14" i="2"/>
  <c r="I13" i="2"/>
  <c r="E13" i="2"/>
  <c r="A13" i="2"/>
  <c r="I12" i="2"/>
  <c r="E12" i="2"/>
  <c r="A12" i="2"/>
  <c r="I11" i="2"/>
  <c r="E11" i="2"/>
  <c r="A11" i="2"/>
  <c r="I10" i="2"/>
  <c r="E10" i="2"/>
  <c r="A10" i="2"/>
  <c r="I9" i="2"/>
  <c r="E9" i="2"/>
  <c r="A9" i="2"/>
  <c r="I8" i="2"/>
  <c r="E8" i="2"/>
  <c r="A8" i="2"/>
  <c r="I7" i="2"/>
  <c r="E7" i="2"/>
  <c r="A7" i="2"/>
  <c r="I6" i="2"/>
  <c r="E6" i="2"/>
  <c r="A6" i="2"/>
  <c r="I2" i="2"/>
  <c r="E2" i="2"/>
  <c r="A2" i="2"/>
  <c r="R2" i="2" l="1"/>
  <c r="S2" i="2" s="1"/>
  <c r="J2" i="2"/>
  <c r="B2" i="2"/>
  <c r="C2" i="2" s="1"/>
  <c r="C6" i="2" s="1" a="1"/>
  <c r="A6" i="6" s="1"/>
  <c r="B6" i="6" s="1"/>
  <c r="C6" i="6" s="1"/>
  <c r="F2" i="2"/>
  <c r="G2" i="2" s="1"/>
  <c r="G6" i="2" s="1" a="1"/>
  <c r="A5" i="11" s="1"/>
  <c r="B5" i="11" s="1"/>
  <c r="S6" i="2" l="1" a="1"/>
  <c r="K2" i="2"/>
  <c r="K6" i="2" s="1" a="1"/>
  <c r="A5" i="3"/>
  <c r="A10" i="3"/>
  <c r="A6" i="3"/>
  <c r="A4" i="3"/>
  <c r="A5" i="9"/>
  <c r="B5" i="9" s="1"/>
  <c r="H5" i="9" s="1"/>
  <c r="A11" i="9"/>
  <c r="B11" i="9" s="1"/>
  <c r="I11" i="9" s="1"/>
  <c r="A9" i="9"/>
  <c r="B9" i="9" s="1"/>
  <c r="I9" i="9" s="1"/>
  <c r="A10" i="10"/>
  <c r="A9" i="10"/>
  <c r="B5" i="12"/>
  <c r="J5" i="12" s="1"/>
  <c r="B9" i="12"/>
  <c r="H9" i="12" s="1"/>
  <c r="A8" i="10"/>
  <c r="A27" i="3"/>
  <c r="B27" i="3" s="1"/>
  <c r="C27" i="3" s="1"/>
  <c r="A6" i="10"/>
  <c r="A5" i="5"/>
  <c r="B5" i="5" s="1"/>
  <c r="C5" i="5" s="1"/>
  <c r="A16" i="10"/>
  <c r="A25" i="5"/>
  <c r="B25" i="5" s="1"/>
  <c r="C25" i="5" s="1"/>
  <c r="A13" i="10"/>
  <c r="A8" i="3"/>
  <c r="A20" i="10"/>
  <c r="A18" i="10"/>
  <c r="A11" i="10"/>
  <c r="A21" i="10"/>
  <c r="A7" i="10"/>
  <c r="G6" i="2"/>
  <c r="A27" i="5"/>
  <c r="B27" i="5" s="1"/>
  <c r="A26" i="5"/>
  <c r="B26" i="5" s="1"/>
  <c r="C26" i="5" s="1"/>
  <c r="A17" i="5"/>
  <c r="B17" i="5" s="1"/>
  <c r="A14" i="5"/>
  <c r="B14" i="5" s="1"/>
  <c r="C14" i="5" s="1"/>
  <c r="B9" i="13"/>
  <c r="I9" i="13" s="1"/>
  <c r="A9" i="5"/>
  <c r="B9" i="5" s="1"/>
  <c r="C9" i="5" s="1"/>
  <c r="B10" i="13"/>
  <c r="C10" i="13" s="1"/>
  <c r="A7" i="5"/>
  <c r="B7" i="5" s="1"/>
  <c r="C7" i="5" s="1"/>
  <c r="B11" i="13"/>
  <c r="I11" i="13" s="1"/>
  <c r="A6" i="5"/>
  <c r="B6" i="5" s="1"/>
  <c r="C6" i="5" s="1"/>
  <c r="B4" i="13"/>
  <c r="I4" i="13" s="1"/>
  <c r="B4" i="12"/>
  <c r="C4" i="12" s="1"/>
  <c r="A8" i="9"/>
  <c r="B8" i="9" s="1"/>
  <c r="A5" i="10"/>
  <c r="A7" i="3"/>
  <c r="A4" i="10"/>
  <c r="A9" i="3"/>
  <c r="A16" i="11"/>
  <c r="B16" i="11" s="1"/>
  <c r="E16" i="11" s="1"/>
  <c r="A11" i="3"/>
  <c r="A13" i="11"/>
  <c r="B13" i="11" s="1"/>
  <c r="C13" i="11" s="1"/>
  <c r="A12" i="3"/>
  <c r="A10" i="11"/>
  <c r="B10" i="11" s="1"/>
  <c r="H10" i="11" s="1"/>
  <c r="A13" i="3"/>
  <c r="A6" i="11"/>
  <c r="B6" i="11" s="1"/>
  <c r="C6" i="11" s="1"/>
  <c r="A16" i="3"/>
  <c r="A4" i="11"/>
  <c r="B4" i="11" s="1"/>
  <c r="D4" i="11" s="1"/>
  <c r="A25" i="3"/>
  <c r="A14" i="9"/>
  <c r="B14" i="9" s="1"/>
  <c r="J14" i="9" s="1"/>
  <c r="B6" i="13"/>
  <c r="F6" i="13" s="1"/>
  <c r="A26" i="3"/>
  <c r="A10" i="9"/>
  <c r="B10" i="9" s="1"/>
  <c r="F10" i="9" s="1"/>
  <c r="B5" i="13"/>
  <c r="C5" i="13" s="1"/>
  <c r="A22" i="5"/>
  <c r="B22" i="5" s="1"/>
  <c r="C22" i="5" s="1"/>
  <c r="A17" i="10"/>
  <c r="A24" i="5"/>
  <c r="B24" i="5" s="1"/>
  <c r="C24" i="5" s="1"/>
  <c r="A22" i="10"/>
  <c r="A21" i="5"/>
  <c r="B21" i="5" s="1"/>
  <c r="C21" i="5" s="1"/>
  <c r="A15" i="10"/>
  <c r="A19" i="5"/>
  <c r="B19" i="5" s="1"/>
  <c r="C19" i="5" s="1"/>
  <c r="A12" i="10"/>
  <c r="B8" i="13"/>
  <c r="J8" i="13" s="1"/>
  <c r="B7" i="13"/>
  <c r="F7" i="13" s="1"/>
  <c r="A23" i="6"/>
  <c r="B23" i="6" s="1"/>
  <c r="C23" i="6" s="1"/>
  <c r="A24" i="6"/>
  <c r="B24" i="6" s="1"/>
  <c r="B7" i="12"/>
  <c r="D7" i="12" s="1"/>
  <c r="A26" i="6"/>
  <c r="B26" i="6" s="1"/>
  <c r="C26" i="6" s="1"/>
  <c r="A22" i="6"/>
  <c r="B22" i="6" s="1"/>
  <c r="C22" i="6" s="1"/>
  <c r="A25" i="6"/>
  <c r="B25" i="6" s="1"/>
  <c r="C25" i="6" s="1"/>
  <c r="A21" i="6"/>
  <c r="B21" i="6" s="1"/>
  <c r="C21" i="6" s="1"/>
  <c r="A16" i="6"/>
  <c r="B16" i="6" s="1"/>
  <c r="C16" i="6" s="1"/>
  <c r="B6" i="12"/>
  <c r="I6" i="12" s="1"/>
  <c r="A14" i="3"/>
  <c r="A4" i="5"/>
  <c r="B4" i="5" s="1"/>
  <c r="C4" i="5" s="1"/>
  <c r="A11" i="6"/>
  <c r="B11" i="6" s="1"/>
  <c r="C11" i="6" s="1"/>
  <c r="A13" i="9"/>
  <c r="B13" i="9" s="1"/>
  <c r="J13" i="9" s="1"/>
  <c r="A4" i="9"/>
  <c r="B4" i="9" s="1"/>
  <c r="I4" i="9" s="1"/>
  <c r="B8" i="12"/>
  <c r="I8" i="12" s="1"/>
  <c r="A13" i="6"/>
  <c r="B13" i="6" s="1"/>
  <c r="C13" i="6" s="1"/>
  <c r="A15" i="3"/>
  <c r="A7" i="9"/>
  <c r="B7" i="9" s="1"/>
  <c r="J7" i="9" s="1"/>
  <c r="A20" i="5"/>
  <c r="B20" i="5" s="1"/>
  <c r="C20" i="5" s="1"/>
  <c r="A17" i="3"/>
  <c r="A12" i="6"/>
  <c r="B12" i="6" s="1"/>
  <c r="C12" i="6" s="1"/>
  <c r="A17" i="11"/>
  <c r="B17" i="11" s="1"/>
  <c r="C17" i="11" s="1"/>
  <c r="A9" i="6"/>
  <c r="B9" i="6" s="1"/>
  <c r="C9" i="6" s="1"/>
  <c r="B11" i="12"/>
  <c r="D11" i="12" s="1"/>
  <c r="A6" i="9"/>
  <c r="B6" i="9" s="1"/>
  <c r="C6" i="9" s="1"/>
  <c r="A16" i="5"/>
  <c r="B16" i="5" s="1"/>
  <c r="C16" i="5" s="1"/>
  <c r="A12" i="11"/>
  <c r="B12" i="11" s="1"/>
  <c r="D12" i="11" s="1"/>
  <c r="A7" i="11"/>
  <c r="B7" i="11" s="1"/>
  <c r="E7" i="11" s="1"/>
  <c r="A5" i="6"/>
  <c r="B5" i="6" s="1"/>
  <c r="C5" i="6" s="1"/>
  <c r="A20" i="6"/>
  <c r="B20" i="6" s="1"/>
  <c r="C20" i="6" s="1"/>
  <c r="A19" i="6"/>
  <c r="B19" i="6" s="1"/>
  <c r="C19" i="6" s="1"/>
  <c r="A17" i="6"/>
  <c r="B17" i="6" s="1"/>
  <c r="C17" i="6" s="1"/>
  <c r="A15" i="6"/>
  <c r="B15" i="6" s="1"/>
  <c r="C15" i="6" s="1"/>
  <c r="A14" i="6"/>
  <c r="B14" i="6" s="1"/>
  <c r="C14" i="6" s="1"/>
  <c r="A23" i="5"/>
  <c r="B23" i="5" s="1"/>
  <c r="C23" i="5" s="1"/>
  <c r="A10" i="6"/>
  <c r="B10" i="6" s="1"/>
  <c r="C10" i="6" s="1"/>
  <c r="B10" i="12"/>
  <c r="C10" i="12" s="1"/>
  <c r="A12" i="9"/>
  <c r="B12" i="9" s="1"/>
  <c r="G12" i="9" s="1"/>
  <c r="A14" i="11"/>
  <c r="B14" i="11" s="1"/>
  <c r="F14" i="11" s="1"/>
  <c r="A18" i="5"/>
  <c r="B18" i="5" s="1"/>
  <c r="C18" i="5" s="1"/>
  <c r="A8" i="6"/>
  <c r="B8" i="6" s="1"/>
  <c r="C8" i="6" s="1"/>
  <c r="A18" i="3"/>
  <c r="A7" i="6"/>
  <c r="B7" i="6" s="1"/>
  <c r="C7" i="6" s="1"/>
  <c r="A8" i="11"/>
  <c r="B8" i="11" s="1"/>
  <c r="I8" i="11" s="1"/>
  <c r="A15" i="5"/>
  <c r="B15" i="5" s="1"/>
  <c r="C15" i="5" s="1"/>
  <c r="A18" i="11"/>
  <c r="B18" i="11" s="1"/>
  <c r="E18" i="11" s="1"/>
  <c r="A4" i="6"/>
  <c r="B4" i="6" s="1"/>
  <c r="C4" i="6" s="1"/>
  <c r="A22" i="3"/>
  <c r="C6" i="2"/>
  <c r="A3" i="6" s="1"/>
  <c r="A11" i="11"/>
  <c r="B11" i="11" s="1"/>
  <c r="J11" i="11" s="1"/>
  <c r="A23" i="3"/>
  <c r="A10" i="5"/>
  <c r="B10" i="5" s="1"/>
  <c r="C10" i="5" s="1"/>
  <c r="A19" i="10"/>
  <c r="A9" i="11"/>
  <c r="B9" i="11" s="1"/>
  <c r="J9" i="11" s="1"/>
  <c r="A18" i="6"/>
  <c r="B18" i="6" s="1"/>
  <c r="C18" i="6" s="1"/>
  <c r="A19" i="3"/>
  <c r="A20" i="3"/>
  <c r="A13" i="5"/>
  <c r="B13" i="5" s="1"/>
  <c r="C13" i="5" s="1"/>
  <c r="A21" i="3"/>
  <c r="A12" i="5"/>
  <c r="B12" i="5" s="1"/>
  <c r="C12" i="5" s="1"/>
  <c r="A15" i="9"/>
  <c r="B15" i="9" s="1"/>
  <c r="C15" i="9" s="1"/>
  <c r="A15" i="11"/>
  <c r="B15" i="11" s="1"/>
  <c r="E15" i="11" s="1"/>
  <c r="A11" i="5"/>
  <c r="B11" i="5" s="1"/>
  <c r="C11" i="5" s="1"/>
  <c r="A24" i="3"/>
  <c r="A8" i="5"/>
  <c r="B8" i="5" s="1"/>
  <c r="C8" i="5" s="1"/>
  <c r="A14" i="10"/>
  <c r="D5" i="11"/>
  <c r="F5" i="11"/>
  <c r="J5" i="11"/>
  <c r="I5" i="11"/>
  <c r="H5" i="11"/>
  <c r="C5" i="11"/>
  <c r="G5" i="11"/>
  <c r="E5" i="11"/>
  <c r="H6" i="6"/>
  <c r="G6" i="6"/>
  <c r="I6" i="6"/>
  <c r="F6" i="6"/>
  <c r="J6" i="6"/>
  <c r="E6" i="6"/>
  <c r="D6" i="6"/>
  <c r="A20" i="24" l="1"/>
  <c r="A20" i="25"/>
  <c r="A19" i="24"/>
  <c r="A19" i="25"/>
  <c r="A16" i="24"/>
  <c r="A16" i="25"/>
  <c r="A14" i="24"/>
  <c r="A14" i="25"/>
  <c r="A21" i="24"/>
  <c r="A21" i="25"/>
  <c r="A13" i="24"/>
  <c r="A13" i="25"/>
  <c r="A7" i="24"/>
  <c r="A7" i="25"/>
  <c r="A18" i="24"/>
  <c r="A18" i="25"/>
  <c r="A25" i="24"/>
  <c r="A25" i="25"/>
  <c r="A8" i="24"/>
  <c r="A8" i="25"/>
  <c r="A24" i="24"/>
  <c r="A24" i="25"/>
  <c r="A12" i="24"/>
  <c r="A12" i="25"/>
  <c r="A9" i="24"/>
  <c r="A9" i="25"/>
  <c r="A11" i="24"/>
  <c r="A11" i="25"/>
  <c r="A4" i="24"/>
  <c r="A4" i="25"/>
  <c r="A22" i="24"/>
  <c r="A22" i="25"/>
  <c r="A17" i="24"/>
  <c r="A17" i="25"/>
  <c r="A6" i="24"/>
  <c r="A6" i="25"/>
  <c r="A10" i="24"/>
  <c r="A10" i="25"/>
  <c r="A23" i="24"/>
  <c r="A23" i="25"/>
  <c r="A5" i="24"/>
  <c r="A5" i="25"/>
  <c r="A15" i="24"/>
  <c r="A15" i="25"/>
  <c r="A26" i="24"/>
  <c r="A26" i="25"/>
  <c r="B26" i="3"/>
  <c r="C26" i="3" s="1"/>
  <c r="C26" i="25" s="1"/>
  <c r="A26" i="23"/>
  <c r="B25" i="3"/>
  <c r="C25" i="3" s="1"/>
  <c r="C25" i="25" s="1"/>
  <c r="A25" i="23"/>
  <c r="B7" i="3"/>
  <c r="C7" i="3" s="1"/>
  <c r="C7" i="25" s="1"/>
  <c r="A7" i="23"/>
  <c r="B16" i="3"/>
  <c r="C16" i="3" s="1"/>
  <c r="C16" i="25" s="1"/>
  <c r="A16" i="23"/>
  <c r="B14" i="3"/>
  <c r="C14" i="3" s="1"/>
  <c r="C14" i="25" s="1"/>
  <c r="A14" i="23"/>
  <c r="B13" i="3"/>
  <c r="C13" i="3" s="1"/>
  <c r="C13" i="25" s="1"/>
  <c r="A13" i="23"/>
  <c r="B24" i="3"/>
  <c r="C24" i="3" s="1"/>
  <c r="C24" i="25" s="1"/>
  <c r="A24" i="23"/>
  <c r="B8" i="3"/>
  <c r="C8" i="3" s="1"/>
  <c r="C8" i="25" s="1"/>
  <c r="A8" i="23"/>
  <c r="B11" i="3"/>
  <c r="C11" i="3" s="1"/>
  <c r="C11" i="25" s="1"/>
  <c r="A11" i="23"/>
  <c r="B23" i="3"/>
  <c r="C23" i="3" s="1"/>
  <c r="C23" i="25" s="1"/>
  <c r="A23" i="23"/>
  <c r="B4" i="3"/>
  <c r="C4" i="3" s="1"/>
  <c r="C4" i="25" s="1"/>
  <c r="A4" i="23"/>
  <c r="B21" i="3"/>
  <c r="C21" i="3" s="1"/>
  <c r="C21" i="25" s="1"/>
  <c r="A21" i="23"/>
  <c r="B22" i="3"/>
  <c r="C22" i="3" s="1"/>
  <c r="C22" i="25" s="1"/>
  <c r="A22" i="23"/>
  <c r="B17" i="3"/>
  <c r="C17" i="3" s="1"/>
  <c r="C17" i="25" s="1"/>
  <c r="A17" i="23"/>
  <c r="B6" i="3"/>
  <c r="C6" i="3" s="1"/>
  <c r="C6" i="25" s="1"/>
  <c r="A6" i="23"/>
  <c r="B18" i="3"/>
  <c r="C18" i="3" s="1"/>
  <c r="C18" i="25" s="1"/>
  <c r="A18" i="23"/>
  <c r="B10" i="3"/>
  <c r="C10" i="3" s="1"/>
  <c r="C10" i="25" s="1"/>
  <c r="A10" i="23"/>
  <c r="B9" i="3"/>
  <c r="C9" i="3" s="1"/>
  <c r="C9" i="25" s="1"/>
  <c r="A9" i="23"/>
  <c r="B5" i="3"/>
  <c r="C5" i="3" s="1"/>
  <c r="C5" i="25" s="1"/>
  <c r="A5" i="23"/>
  <c r="B20" i="3"/>
  <c r="C20" i="3" s="1"/>
  <c r="C20" i="25" s="1"/>
  <c r="A20" i="23"/>
  <c r="B15" i="3"/>
  <c r="C15" i="3" s="1"/>
  <c r="C15" i="25" s="1"/>
  <c r="A15" i="23"/>
  <c r="B12" i="3"/>
  <c r="C12" i="3" s="1"/>
  <c r="C12" i="25" s="1"/>
  <c r="A12" i="23"/>
  <c r="B19" i="3"/>
  <c r="C19" i="3" s="1"/>
  <c r="C19" i="25" s="1"/>
  <c r="A19" i="23"/>
  <c r="T15" i="2"/>
  <c r="A12" i="14" s="1"/>
  <c r="T11" i="2"/>
  <c r="A8" i="14" s="1"/>
  <c r="C8" i="14" s="1"/>
  <c r="T16" i="2"/>
  <c r="T8" i="2"/>
  <c r="T19" i="2"/>
  <c r="T7" i="2"/>
  <c r="A4" i="14" s="1"/>
  <c r="F4" i="14" s="1"/>
  <c r="S6" i="2"/>
  <c r="T6" i="2" s="1"/>
  <c r="A3" i="15" s="1"/>
  <c r="E3" i="15" s="1"/>
  <c r="T17" i="2"/>
  <c r="T14" i="2"/>
  <c r="A11" i="15" s="1"/>
  <c r="I11" i="15" s="1"/>
  <c r="T20" i="2"/>
  <c r="T12" i="2"/>
  <c r="A9" i="14" s="1"/>
  <c r="C9" i="14" s="1"/>
  <c r="T18" i="2"/>
  <c r="T21" i="2"/>
  <c r="T13" i="2"/>
  <c r="A10" i="14" s="1"/>
  <c r="C10" i="14" s="1"/>
  <c r="T22" i="2"/>
  <c r="T9" i="2"/>
  <c r="A6" i="14" s="1"/>
  <c r="C6" i="14" s="1"/>
  <c r="T10" i="2"/>
  <c r="A7" i="14" s="1"/>
  <c r="H7" i="14" s="1"/>
  <c r="A20" i="8"/>
  <c r="B20" i="8" s="1"/>
  <c r="I20" i="8" s="1"/>
  <c r="A9" i="8"/>
  <c r="B9" i="8" s="1"/>
  <c r="J9" i="8" s="1"/>
  <c r="A12" i="8"/>
  <c r="B12" i="8" s="1"/>
  <c r="F12" i="8" s="1"/>
  <c r="A12" i="21"/>
  <c r="C12" i="21" s="1"/>
  <c r="A11" i="7"/>
  <c r="B11" i="7" s="1"/>
  <c r="I11" i="7" s="1"/>
  <c r="A11" i="8"/>
  <c r="B11" i="8" s="1"/>
  <c r="I11" i="8" s="1"/>
  <c r="A9" i="21"/>
  <c r="C9" i="21" s="1"/>
  <c r="A11" i="21"/>
  <c r="C11" i="21" s="1"/>
  <c r="A23" i="7"/>
  <c r="B23" i="7" s="1"/>
  <c r="H23" i="7" s="1"/>
  <c r="A21" i="7"/>
  <c r="B21" i="7" s="1"/>
  <c r="A5" i="7"/>
  <c r="B5" i="7" s="1"/>
  <c r="I5" i="7" s="1"/>
  <c r="A15" i="7"/>
  <c r="B15" i="7" s="1"/>
  <c r="A22" i="8"/>
  <c r="B22" i="8" s="1"/>
  <c r="D22" i="8" s="1"/>
  <c r="A19" i="7"/>
  <c r="B19" i="7" s="1"/>
  <c r="A6" i="8"/>
  <c r="B6" i="8" s="1"/>
  <c r="F6" i="8" s="1"/>
  <c r="A17" i="8"/>
  <c r="B17" i="8" s="1"/>
  <c r="I17" i="8" s="1"/>
  <c r="A6" i="21"/>
  <c r="C6" i="21" s="1"/>
  <c r="A15" i="8"/>
  <c r="B15" i="8" s="1"/>
  <c r="I15" i="8" s="1"/>
  <c r="A7" i="21"/>
  <c r="C7" i="21" s="1"/>
  <c r="A8" i="21"/>
  <c r="C8" i="21" s="1"/>
  <c r="A17" i="21"/>
  <c r="C17" i="21" s="1"/>
  <c r="A5" i="8"/>
  <c r="B5" i="8" s="1"/>
  <c r="G5" i="8" s="1"/>
  <c r="A5" i="21"/>
  <c r="C5" i="21" s="1"/>
  <c r="A7" i="7"/>
  <c r="B7" i="7" s="1"/>
  <c r="C7" i="7" s="1"/>
  <c r="A20" i="7"/>
  <c r="B20" i="7" s="1"/>
  <c r="C20" i="7" s="1"/>
  <c r="A23" i="8"/>
  <c r="B23" i="8" s="1"/>
  <c r="I23" i="8" s="1"/>
  <c r="A13" i="8"/>
  <c r="B13" i="8" s="1"/>
  <c r="H13" i="8" s="1"/>
  <c r="A7" i="8"/>
  <c r="B7" i="8" s="1"/>
  <c r="C7" i="8" s="1"/>
  <c r="A8" i="8"/>
  <c r="B8" i="8" s="1"/>
  <c r="A19" i="8"/>
  <c r="B19" i="8" s="1"/>
  <c r="J19" i="8" s="1"/>
  <c r="A10" i="8"/>
  <c r="B10" i="8" s="1"/>
  <c r="I10" i="8" s="1"/>
  <c r="A14" i="7"/>
  <c r="B14" i="7" s="1"/>
  <c r="C14" i="7" s="1"/>
  <c r="A4" i="21"/>
  <c r="C4" i="21" s="1"/>
  <c r="A18" i="7"/>
  <c r="B18" i="7" s="1"/>
  <c r="C18" i="7" s="1"/>
  <c r="A4" i="8"/>
  <c r="B4" i="8" s="1"/>
  <c r="C4" i="8" s="1"/>
  <c r="A14" i="21"/>
  <c r="C14" i="21" s="1"/>
  <c r="A6" i="7"/>
  <c r="B6" i="7" s="1"/>
  <c r="A17" i="7"/>
  <c r="B17" i="7" s="1"/>
  <c r="A16" i="21"/>
  <c r="C16" i="21" s="1"/>
  <c r="A16" i="7"/>
  <c r="B16" i="7" s="1"/>
  <c r="G16" i="7" s="1"/>
  <c r="A10" i="21"/>
  <c r="C10" i="21" s="1"/>
  <c r="A9" i="7"/>
  <c r="B9" i="7" s="1"/>
  <c r="A13" i="21"/>
  <c r="C13" i="21" s="1"/>
  <c r="A22" i="7"/>
  <c r="B22" i="7" s="1"/>
  <c r="C22" i="7" s="1"/>
  <c r="A8" i="7"/>
  <c r="B8" i="7" s="1"/>
  <c r="C8" i="7" s="1"/>
  <c r="A15" i="21"/>
  <c r="C15" i="21" s="1"/>
  <c r="A21" i="8"/>
  <c r="B21" i="8" s="1"/>
  <c r="D21" i="8" s="1"/>
  <c r="A4" i="7"/>
  <c r="B4" i="7" s="1"/>
  <c r="C4" i="7" s="1"/>
  <c r="K6" i="2"/>
  <c r="A3" i="21" s="1"/>
  <c r="C3" i="21" s="1"/>
  <c r="A13" i="7"/>
  <c r="B13" i="7" s="1"/>
  <c r="C13" i="7" s="1"/>
  <c r="A18" i="8"/>
  <c r="B18" i="8" s="1"/>
  <c r="J18" i="8" s="1"/>
  <c r="A16" i="8"/>
  <c r="B16" i="8" s="1"/>
  <c r="I16" i="8" s="1"/>
  <c r="A12" i="7"/>
  <c r="B12" i="7" s="1"/>
  <c r="C12" i="7" s="1"/>
  <c r="A10" i="7"/>
  <c r="B10" i="7" s="1"/>
  <c r="C10" i="7" s="1"/>
  <c r="A14" i="8"/>
  <c r="B14" i="8" s="1"/>
  <c r="C14" i="8" s="1"/>
  <c r="H5" i="12"/>
  <c r="F9" i="12"/>
  <c r="G5" i="12"/>
  <c r="D5" i="12"/>
  <c r="G11" i="9"/>
  <c r="D11" i="9"/>
  <c r="F10" i="6"/>
  <c r="D5" i="9"/>
  <c r="J10" i="6"/>
  <c r="F5" i="9"/>
  <c r="J5" i="9"/>
  <c r="E15" i="9"/>
  <c r="D15" i="9"/>
  <c r="J15" i="9"/>
  <c r="H15" i="9"/>
  <c r="C9" i="13"/>
  <c r="H16" i="11"/>
  <c r="I13" i="11"/>
  <c r="F4" i="13"/>
  <c r="E11" i="13"/>
  <c r="C11" i="13"/>
  <c r="G4" i="12"/>
  <c r="J9" i="9"/>
  <c r="F4" i="12"/>
  <c r="C9" i="9"/>
  <c r="E4" i="12"/>
  <c r="E10" i="6"/>
  <c r="D9" i="9"/>
  <c r="D4" i="12"/>
  <c r="I10" i="6"/>
  <c r="J12" i="9"/>
  <c r="J8" i="12"/>
  <c r="E9" i="12"/>
  <c r="I5" i="12"/>
  <c r="G6" i="5"/>
  <c r="E15" i="6"/>
  <c r="H15" i="6"/>
  <c r="I27" i="3"/>
  <c r="F6" i="5"/>
  <c r="D15" i="6"/>
  <c r="H27" i="3"/>
  <c r="G20" i="5"/>
  <c r="G25" i="5"/>
  <c r="H25" i="5"/>
  <c r="I25" i="5"/>
  <c r="D16" i="11"/>
  <c r="J25" i="5"/>
  <c r="G16" i="11"/>
  <c r="D25" i="5"/>
  <c r="J16" i="11"/>
  <c r="D4" i="5"/>
  <c r="F9" i="9"/>
  <c r="H8" i="11"/>
  <c r="F4" i="5"/>
  <c r="G9" i="9"/>
  <c r="G13" i="11"/>
  <c r="H4" i="5"/>
  <c r="H9" i="9"/>
  <c r="E13" i="11"/>
  <c r="F5" i="12"/>
  <c r="E5" i="12"/>
  <c r="E9" i="9"/>
  <c r="C5" i="12"/>
  <c r="H10" i="6"/>
  <c r="D12" i="9"/>
  <c r="E4" i="13"/>
  <c r="H11" i="9"/>
  <c r="G4" i="13"/>
  <c r="C5" i="9"/>
  <c r="D4" i="13"/>
  <c r="G9" i="5"/>
  <c r="E5" i="9"/>
  <c r="D11" i="13"/>
  <c r="F27" i="3"/>
  <c r="J11" i="13"/>
  <c r="J7" i="5"/>
  <c r="G11" i="13"/>
  <c r="I7" i="5"/>
  <c r="H10" i="13"/>
  <c r="H9" i="5"/>
  <c r="C14" i="11"/>
  <c r="E10" i="13"/>
  <c r="I9" i="5"/>
  <c r="E14" i="11"/>
  <c r="G10" i="13"/>
  <c r="J9" i="5"/>
  <c r="J9" i="13"/>
  <c r="D9" i="5"/>
  <c r="E9" i="13"/>
  <c r="E9" i="5"/>
  <c r="D9" i="13"/>
  <c r="C27" i="5"/>
  <c r="F27" i="5"/>
  <c r="A3" i="5"/>
  <c r="B3" i="5" s="1"/>
  <c r="C3" i="5" s="1"/>
  <c r="D8" i="9"/>
  <c r="J8" i="9"/>
  <c r="I8" i="9"/>
  <c r="E8" i="9"/>
  <c r="C8" i="9"/>
  <c r="H8" i="9"/>
  <c r="G8" i="9"/>
  <c r="C17" i="5"/>
  <c r="J17" i="5"/>
  <c r="G17" i="5"/>
  <c r="I17" i="5"/>
  <c r="F17" i="5"/>
  <c r="C24" i="6"/>
  <c r="F24" i="6"/>
  <c r="G24" i="6"/>
  <c r="H24" i="6"/>
  <c r="F8" i="9"/>
  <c r="H5" i="5"/>
  <c r="D5" i="5"/>
  <c r="E5" i="5"/>
  <c r="F5" i="5"/>
  <c r="G5" i="5"/>
  <c r="I5" i="5"/>
  <c r="J5" i="5"/>
  <c r="F9" i="6"/>
  <c r="I6" i="5"/>
  <c r="E9" i="6"/>
  <c r="J6" i="5"/>
  <c r="J9" i="6"/>
  <c r="J14" i="11"/>
  <c r="F7" i="5"/>
  <c r="E6" i="5"/>
  <c r="D9" i="6"/>
  <c r="E12" i="9"/>
  <c r="D14" i="11"/>
  <c r="H11" i="5"/>
  <c r="H6" i="5"/>
  <c r="H6" i="25" s="1"/>
  <c r="F12" i="9"/>
  <c r="J10" i="13"/>
  <c r="D21" i="5"/>
  <c r="F25" i="5"/>
  <c r="C11" i="9"/>
  <c r="I10" i="13"/>
  <c r="E21" i="5"/>
  <c r="E11" i="9"/>
  <c r="F9" i="5"/>
  <c r="G27" i="3"/>
  <c r="F11" i="9"/>
  <c r="H9" i="13"/>
  <c r="K9" i="13" s="1"/>
  <c r="J15" i="11"/>
  <c r="G15" i="11"/>
  <c r="G15" i="9"/>
  <c r="I9" i="11"/>
  <c r="C12" i="9"/>
  <c r="J4" i="13"/>
  <c r="D5" i="6"/>
  <c r="J27" i="5"/>
  <c r="E27" i="5"/>
  <c r="C6" i="13"/>
  <c r="B3" i="13"/>
  <c r="C3" i="13" s="1"/>
  <c r="D27" i="5"/>
  <c r="D14" i="5"/>
  <c r="A3" i="3"/>
  <c r="J26" i="6"/>
  <c r="I22" i="6"/>
  <c r="D6" i="13"/>
  <c r="B3" i="12"/>
  <c r="F3" i="12" s="1"/>
  <c r="H14" i="5"/>
  <c r="H26" i="6"/>
  <c r="G22" i="6"/>
  <c r="J6" i="13"/>
  <c r="F14" i="5"/>
  <c r="G26" i="6"/>
  <c r="F18" i="6"/>
  <c r="C7" i="11"/>
  <c r="H4" i="13"/>
  <c r="E6" i="13"/>
  <c r="G14" i="5"/>
  <c r="J5" i="6"/>
  <c r="D18" i="6"/>
  <c r="J11" i="9"/>
  <c r="I7" i="11"/>
  <c r="C4" i="13"/>
  <c r="I4" i="12"/>
  <c r="I14" i="5"/>
  <c r="D6" i="5"/>
  <c r="F5" i="6"/>
  <c r="J18" i="6"/>
  <c r="D7" i="11"/>
  <c r="F11" i="13"/>
  <c r="H4" i="12"/>
  <c r="G27" i="5"/>
  <c r="F7" i="11"/>
  <c r="G23" i="6"/>
  <c r="H23" i="6"/>
  <c r="G6" i="13"/>
  <c r="I27" i="5"/>
  <c r="H6" i="13"/>
  <c r="F20" i="6"/>
  <c r="E14" i="5"/>
  <c r="D23" i="6"/>
  <c r="G17" i="6"/>
  <c r="J7" i="11"/>
  <c r="J20" i="5"/>
  <c r="A3" i="10"/>
  <c r="B3" i="10" s="1"/>
  <c r="H3" i="10" s="1"/>
  <c r="D26" i="5"/>
  <c r="J17" i="6"/>
  <c r="J9" i="12"/>
  <c r="A3" i="11"/>
  <c r="B3" i="11" s="1"/>
  <c r="C3" i="11" s="1"/>
  <c r="J23" i="6"/>
  <c r="G26" i="5"/>
  <c r="H27" i="5"/>
  <c r="J14" i="5"/>
  <c r="I23" i="6"/>
  <c r="J4" i="12"/>
  <c r="F23" i="6"/>
  <c r="J26" i="5"/>
  <c r="D10" i="11"/>
  <c r="E26" i="5"/>
  <c r="J27" i="3"/>
  <c r="D7" i="5"/>
  <c r="D17" i="5"/>
  <c r="H26" i="5"/>
  <c r="D21" i="6"/>
  <c r="I9" i="6"/>
  <c r="G5" i="9"/>
  <c r="F10" i="11"/>
  <c r="C15" i="11"/>
  <c r="F10" i="13"/>
  <c r="C9" i="12"/>
  <c r="I6" i="13"/>
  <c r="I26" i="6"/>
  <c r="A3" i="9"/>
  <c r="B3" i="9" s="1"/>
  <c r="D3" i="9" s="1"/>
  <c r="E17" i="6"/>
  <c r="E25" i="5"/>
  <c r="F21" i="6"/>
  <c r="E10" i="11"/>
  <c r="H15" i="11"/>
  <c r="D9" i="12"/>
  <c r="E27" i="3"/>
  <c r="E7" i="5"/>
  <c r="E17" i="5"/>
  <c r="I26" i="5"/>
  <c r="J24" i="6"/>
  <c r="I5" i="9"/>
  <c r="J18" i="11"/>
  <c r="D15" i="11"/>
  <c r="D10" i="13"/>
  <c r="I9" i="12"/>
  <c r="K9" i="12" s="1"/>
  <c r="G7" i="11"/>
  <c r="G9" i="12"/>
  <c r="G7" i="5"/>
  <c r="D27" i="3"/>
  <c r="H7" i="5"/>
  <c r="H17" i="5"/>
  <c r="F26" i="5"/>
  <c r="D24" i="6"/>
  <c r="C12" i="11"/>
  <c r="F8" i="11"/>
  <c r="I12" i="9"/>
  <c r="I7" i="12"/>
  <c r="F13" i="5"/>
  <c r="C13" i="9"/>
  <c r="G7" i="13"/>
  <c r="C7" i="12"/>
  <c r="G22" i="5"/>
  <c r="J22" i="5"/>
  <c r="H22" i="5"/>
  <c r="I8" i="6"/>
  <c r="H12" i="9"/>
  <c r="G8" i="6"/>
  <c r="J7" i="13"/>
  <c r="D7" i="9"/>
  <c r="I7" i="13"/>
  <c r="D13" i="9"/>
  <c r="D9" i="11"/>
  <c r="E7" i="13"/>
  <c r="D7" i="6"/>
  <c r="D7" i="13"/>
  <c r="H13" i="6"/>
  <c r="H7" i="13"/>
  <c r="J13" i="5"/>
  <c r="F18" i="5"/>
  <c r="F13" i="9"/>
  <c r="G10" i="9"/>
  <c r="C9" i="11"/>
  <c r="C7" i="13"/>
  <c r="E7" i="6"/>
  <c r="D8" i="6"/>
  <c r="H8" i="6"/>
  <c r="G7" i="9"/>
  <c r="E7" i="12"/>
  <c r="I18" i="5"/>
  <c r="F11" i="6"/>
  <c r="E24" i="6"/>
  <c r="H13" i="9"/>
  <c r="I10" i="9"/>
  <c r="H9" i="11"/>
  <c r="G4" i="11"/>
  <c r="F5" i="13"/>
  <c r="E18" i="5"/>
  <c r="D11" i="6"/>
  <c r="E13" i="9"/>
  <c r="G14" i="9"/>
  <c r="J18" i="5"/>
  <c r="I4" i="5"/>
  <c r="J11" i="6"/>
  <c r="G13" i="9"/>
  <c r="I14" i="9"/>
  <c r="E11" i="5"/>
  <c r="J4" i="5"/>
  <c r="I11" i="6"/>
  <c r="I24" i="6"/>
  <c r="E14" i="9"/>
  <c r="I7" i="6"/>
  <c r="I5" i="13"/>
  <c r="D22" i="5"/>
  <c r="J11" i="5"/>
  <c r="G12" i="11"/>
  <c r="E12" i="11"/>
  <c r="I10" i="12"/>
  <c r="E24" i="5"/>
  <c r="D10" i="12"/>
  <c r="F4" i="11"/>
  <c r="E8" i="12"/>
  <c r="J4" i="9"/>
  <c r="J12" i="11"/>
  <c r="C4" i="11"/>
  <c r="C8" i="12"/>
  <c r="D14" i="9"/>
  <c r="F14" i="9"/>
  <c r="D11" i="5"/>
  <c r="F8" i="5"/>
  <c r="C14" i="9"/>
  <c r="F11" i="5"/>
  <c r="H8" i="5"/>
  <c r="H14" i="9"/>
  <c r="I24" i="5"/>
  <c r="I12" i="11"/>
  <c r="C4" i="9"/>
  <c r="I4" i="11"/>
  <c r="H8" i="12"/>
  <c r="K8" i="12" s="1"/>
  <c r="F22" i="5"/>
  <c r="F4" i="9"/>
  <c r="F12" i="11"/>
  <c r="E4" i="11"/>
  <c r="G9" i="13"/>
  <c r="G8" i="12"/>
  <c r="H12" i="11"/>
  <c r="G11" i="5"/>
  <c r="I22" i="5"/>
  <c r="H5" i="6"/>
  <c r="G4" i="9"/>
  <c r="I14" i="11"/>
  <c r="J4" i="11"/>
  <c r="H11" i="13"/>
  <c r="K11" i="13" s="1"/>
  <c r="F9" i="13"/>
  <c r="F8" i="12"/>
  <c r="H4" i="11"/>
  <c r="E22" i="5"/>
  <c r="E5" i="6"/>
  <c r="E4" i="9"/>
  <c r="H14" i="11"/>
  <c r="D8" i="12"/>
  <c r="I8" i="13"/>
  <c r="D17" i="11"/>
  <c r="H12" i="6"/>
  <c r="E6" i="11"/>
  <c r="F17" i="11"/>
  <c r="F21" i="5"/>
  <c r="E12" i="6"/>
  <c r="D6" i="11"/>
  <c r="G17" i="11"/>
  <c r="H6" i="11"/>
  <c r="E26" i="6"/>
  <c r="G6" i="11"/>
  <c r="H17" i="11"/>
  <c r="D8" i="13"/>
  <c r="F16" i="5"/>
  <c r="D6" i="9"/>
  <c r="J6" i="9"/>
  <c r="H21" i="5"/>
  <c r="G6" i="9"/>
  <c r="I21" i="5"/>
  <c r="E17" i="11"/>
  <c r="D12" i="6"/>
  <c r="J17" i="11"/>
  <c r="D10" i="5"/>
  <c r="I12" i="6"/>
  <c r="E10" i="5"/>
  <c r="F24" i="5"/>
  <c r="D26" i="6"/>
  <c r="G12" i="6"/>
  <c r="J6" i="11"/>
  <c r="F16" i="11"/>
  <c r="D13" i="11"/>
  <c r="E19" i="5"/>
  <c r="F10" i="5"/>
  <c r="E8" i="5"/>
  <c r="G4" i="5"/>
  <c r="G5" i="6"/>
  <c r="J12" i="6"/>
  <c r="D4" i="9"/>
  <c r="F6" i="11"/>
  <c r="I16" i="11"/>
  <c r="H13" i="11"/>
  <c r="J5" i="13"/>
  <c r="J21" i="5"/>
  <c r="G21" i="5"/>
  <c r="G19" i="5"/>
  <c r="G10" i="5"/>
  <c r="F12" i="6"/>
  <c r="I10" i="11"/>
  <c r="I6" i="11"/>
  <c r="J13" i="11"/>
  <c r="H5" i="13"/>
  <c r="I19" i="5"/>
  <c r="H10" i="5"/>
  <c r="G8" i="5"/>
  <c r="E18" i="6"/>
  <c r="H7" i="9"/>
  <c r="H4" i="9"/>
  <c r="J10" i="11"/>
  <c r="C16" i="11"/>
  <c r="F13" i="11"/>
  <c r="D5" i="13"/>
  <c r="G7" i="12"/>
  <c r="D19" i="5"/>
  <c r="I10" i="5"/>
  <c r="I8" i="5"/>
  <c r="E4" i="5"/>
  <c r="I5" i="6"/>
  <c r="G18" i="6"/>
  <c r="C7" i="9"/>
  <c r="F15" i="9"/>
  <c r="C10" i="11"/>
  <c r="G14" i="11"/>
  <c r="E5" i="13"/>
  <c r="J7" i="12"/>
  <c r="J4" i="6"/>
  <c r="H11" i="12"/>
  <c r="G10" i="11"/>
  <c r="G5" i="13"/>
  <c r="J11" i="12"/>
  <c r="H10" i="9"/>
  <c r="F19" i="5"/>
  <c r="J10" i="5"/>
  <c r="I11" i="12"/>
  <c r="J19" i="5"/>
  <c r="G4" i="6"/>
  <c r="I14" i="6"/>
  <c r="H4" i="6"/>
  <c r="D19" i="6"/>
  <c r="C11" i="12"/>
  <c r="D4" i="6"/>
  <c r="G8" i="13"/>
  <c r="G10" i="12"/>
  <c r="H24" i="5"/>
  <c r="F8" i="13"/>
  <c r="F10" i="12"/>
  <c r="E11" i="6"/>
  <c r="G10" i="6"/>
  <c r="J22" i="6"/>
  <c r="E10" i="9"/>
  <c r="C18" i="11"/>
  <c r="C11" i="11"/>
  <c r="G9" i="11"/>
  <c r="C8" i="13"/>
  <c r="E10" i="12"/>
  <c r="H19" i="5"/>
  <c r="G11" i="12"/>
  <c r="D14" i="6"/>
  <c r="J24" i="5"/>
  <c r="F4" i="6"/>
  <c r="C10" i="9"/>
  <c r="E8" i="13"/>
  <c r="D24" i="5"/>
  <c r="E4" i="6"/>
  <c r="J19" i="6"/>
  <c r="H18" i="11"/>
  <c r="H8" i="13"/>
  <c r="G24" i="5"/>
  <c r="I19" i="6"/>
  <c r="J10" i="9"/>
  <c r="F18" i="11"/>
  <c r="G11" i="6"/>
  <c r="H22" i="6"/>
  <c r="D10" i="9"/>
  <c r="G18" i="11"/>
  <c r="F9" i="11"/>
  <c r="I11" i="5"/>
  <c r="H11" i="6"/>
  <c r="D10" i="6"/>
  <c r="F22" i="6"/>
  <c r="E23" i="6"/>
  <c r="D18" i="11"/>
  <c r="I15" i="11"/>
  <c r="E9" i="11"/>
  <c r="J10" i="12"/>
  <c r="H6" i="12"/>
  <c r="G16" i="5"/>
  <c r="H14" i="6"/>
  <c r="G6" i="12"/>
  <c r="I16" i="5"/>
  <c r="H17" i="6"/>
  <c r="J14" i="6"/>
  <c r="F7" i="6"/>
  <c r="E6" i="9"/>
  <c r="F6" i="12"/>
  <c r="E16" i="5"/>
  <c r="F17" i="6"/>
  <c r="G14" i="6"/>
  <c r="J7" i="6"/>
  <c r="H6" i="9"/>
  <c r="F11" i="12"/>
  <c r="E6" i="12"/>
  <c r="H16" i="5"/>
  <c r="D23" i="5"/>
  <c r="D17" i="6"/>
  <c r="F14" i="6"/>
  <c r="G7" i="6"/>
  <c r="I18" i="6"/>
  <c r="I6" i="9"/>
  <c r="E11" i="12"/>
  <c r="J16" i="5"/>
  <c r="J8" i="5"/>
  <c r="E23" i="5"/>
  <c r="I4" i="6"/>
  <c r="F26" i="6"/>
  <c r="I17" i="6"/>
  <c r="E14" i="6"/>
  <c r="H7" i="6"/>
  <c r="H18" i="6"/>
  <c r="F6" i="9"/>
  <c r="G13" i="5"/>
  <c r="H19" i="6"/>
  <c r="E8" i="6"/>
  <c r="I13" i="5"/>
  <c r="E20" i="5"/>
  <c r="I21" i="6"/>
  <c r="F19" i="6"/>
  <c r="F8" i="6"/>
  <c r="E8" i="11"/>
  <c r="D18" i="5"/>
  <c r="G21" i="6"/>
  <c r="E19" i="6"/>
  <c r="J8" i="6"/>
  <c r="I18" i="11"/>
  <c r="D8" i="11"/>
  <c r="H10" i="12"/>
  <c r="H7" i="12"/>
  <c r="J23" i="5"/>
  <c r="J8" i="11"/>
  <c r="D13" i="5"/>
  <c r="I20" i="5"/>
  <c r="H23" i="5"/>
  <c r="J21" i="6"/>
  <c r="C8" i="11"/>
  <c r="G18" i="5"/>
  <c r="J15" i="6"/>
  <c r="E22" i="6"/>
  <c r="I17" i="11"/>
  <c r="F7" i="12"/>
  <c r="I23" i="5"/>
  <c r="F20" i="5"/>
  <c r="F23" i="5"/>
  <c r="H13" i="5"/>
  <c r="H20" i="5"/>
  <c r="G23" i="5"/>
  <c r="E21" i="6"/>
  <c r="G8" i="11"/>
  <c r="E13" i="5"/>
  <c r="D20" i="5"/>
  <c r="H21" i="6"/>
  <c r="G19" i="6"/>
  <c r="G9" i="6"/>
  <c r="H18" i="5"/>
  <c r="F15" i="6"/>
  <c r="D22" i="6"/>
  <c r="H9" i="6"/>
  <c r="F7" i="9"/>
  <c r="D11" i="11"/>
  <c r="I7" i="9"/>
  <c r="F11" i="11"/>
  <c r="E15" i="5"/>
  <c r="D16" i="6"/>
  <c r="E7" i="9"/>
  <c r="H11" i="11"/>
  <c r="G13" i="6"/>
  <c r="H12" i="5"/>
  <c r="E25" i="6"/>
  <c r="E12" i="5"/>
  <c r="H20" i="6"/>
  <c r="I13" i="6"/>
  <c r="I16" i="6"/>
  <c r="E11" i="11"/>
  <c r="D6" i="12"/>
  <c r="I25" i="6"/>
  <c r="I15" i="5"/>
  <c r="I11" i="11"/>
  <c r="D13" i="6"/>
  <c r="E16" i="6"/>
  <c r="I12" i="5"/>
  <c r="G20" i="6"/>
  <c r="F13" i="6"/>
  <c r="J25" i="6"/>
  <c r="H16" i="6"/>
  <c r="G11" i="11"/>
  <c r="C6" i="12"/>
  <c r="G15" i="6"/>
  <c r="G15" i="5"/>
  <c r="I15" i="6"/>
  <c r="F12" i="5"/>
  <c r="D20" i="6"/>
  <c r="H25" i="6"/>
  <c r="G16" i="6"/>
  <c r="D25" i="6"/>
  <c r="D15" i="5"/>
  <c r="I20" i="6"/>
  <c r="E13" i="6"/>
  <c r="G25" i="6"/>
  <c r="F16" i="6"/>
  <c r="I13" i="9"/>
  <c r="I15" i="9"/>
  <c r="H7" i="11"/>
  <c r="F15" i="11"/>
  <c r="J6" i="12"/>
  <c r="J12" i="5"/>
  <c r="D12" i="5"/>
  <c r="G12" i="5"/>
  <c r="F15" i="5"/>
  <c r="J20" i="6"/>
  <c r="H15" i="5"/>
  <c r="J15" i="5"/>
  <c r="D16" i="5"/>
  <c r="D8" i="5"/>
  <c r="E20" i="6"/>
  <c r="J13" i="6"/>
  <c r="F25" i="6"/>
  <c r="J16" i="6"/>
  <c r="K5" i="11"/>
  <c r="L5" i="11" s="1"/>
  <c r="B5" i="10"/>
  <c r="H5" i="10" s="1"/>
  <c r="B4" i="10"/>
  <c r="K6" i="6"/>
  <c r="L6" i="6" l="1"/>
  <c r="H16" i="25"/>
  <c r="H12" i="25"/>
  <c r="H26" i="25"/>
  <c r="H20" i="25"/>
  <c r="H19" i="25"/>
  <c r="H24" i="25"/>
  <c r="H18" i="25"/>
  <c r="H25" i="25"/>
  <c r="H23" i="25"/>
  <c r="H14" i="25"/>
  <c r="H15" i="25"/>
  <c r="H10" i="25"/>
  <c r="H7" i="25"/>
  <c r="H17" i="25"/>
  <c r="H9" i="25"/>
  <c r="H21" i="25"/>
  <c r="H22" i="25"/>
  <c r="H4" i="25"/>
  <c r="H13" i="25"/>
  <c r="H11" i="25"/>
  <c r="H5" i="25"/>
  <c r="H8" i="25"/>
  <c r="G26" i="3"/>
  <c r="E26" i="3"/>
  <c r="F26" i="3"/>
  <c r="J26" i="3"/>
  <c r="H26" i="3"/>
  <c r="H26" i="24" s="1"/>
  <c r="C20" i="23"/>
  <c r="C20" i="24"/>
  <c r="C17" i="23"/>
  <c r="C17" i="24"/>
  <c r="C21" i="23"/>
  <c r="C21" i="24"/>
  <c r="C4" i="23"/>
  <c r="C4" i="24"/>
  <c r="C22" i="23"/>
  <c r="C22" i="24"/>
  <c r="A3" i="23"/>
  <c r="C23" i="23"/>
  <c r="C23" i="24"/>
  <c r="C19" i="23"/>
  <c r="C19" i="24"/>
  <c r="C11" i="23"/>
  <c r="C11" i="24"/>
  <c r="C12" i="23"/>
  <c r="C12" i="24"/>
  <c r="C8" i="23"/>
  <c r="C8" i="24"/>
  <c r="C15" i="23"/>
  <c r="C15" i="24"/>
  <c r="C24" i="23"/>
  <c r="C24" i="24"/>
  <c r="C13" i="23"/>
  <c r="C13" i="24"/>
  <c r="C5" i="23"/>
  <c r="C5" i="24"/>
  <c r="C14" i="23"/>
  <c r="C14" i="24"/>
  <c r="C9" i="23"/>
  <c r="C9" i="24"/>
  <c r="C16" i="23"/>
  <c r="C16" i="24"/>
  <c r="C10" i="23"/>
  <c r="C10" i="24"/>
  <c r="C7" i="23"/>
  <c r="C7" i="24"/>
  <c r="C18" i="23"/>
  <c r="C18" i="24"/>
  <c r="C25" i="23"/>
  <c r="C25" i="24"/>
  <c r="C6" i="23"/>
  <c r="C6" i="24"/>
  <c r="C26" i="23"/>
  <c r="C26" i="24"/>
  <c r="D25" i="3"/>
  <c r="D26" i="3"/>
  <c r="I26" i="3"/>
  <c r="J25" i="3"/>
  <c r="G25" i="3"/>
  <c r="H25" i="3"/>
  <c r="H25" i="24" s="1"/>
  <c r="E25" i="3"/>
  <c r="F25" i="3"/>
  <c r="I25" i="3"/>
  <c r="J16" i="3"/>
  <c r="H16" i="3"/>
  <c r="H16" i="24" s="1"/>
  <c r="F9" i="3"/>
  <c r="E14" i="3"/>
  <c r="E7" i="3"/>
  <c r="E10" i="3"/>
  <c r="G7" i="3"/>
  <c r="G10" i="3"/>
  <c r="I10" i="3"/>
  <c r="H10" i="3"/>
  <c r="H10" i="24" s="1"/>
  <c r="F7" i="3"/>
  <c r="F10" i="3"/>
  <c r="H7" i="3"/>
  <c r="H7" i="24" s="1"/>
  <c r="J7" i="3"/>
  <c r="D10" i="3"/>
  <c r="J10" i="3"/>
  <c r="D14" i="3"/>
  <c r="F16" i="3"/>
  <c r="E16" i="3"/>
  <c r="I9" i="3"/>
  <c r="J9" i="3"/>
  <c r="H9" i="3"/>
  <c r="H9" i="24" s="1"/>
  <c r="E9" i="3"/>
  <c r="G20" i="3"/>
  <c r="G13" i="3"/>
  <c r="I13" i="3"/>
  <c r="G14" i="3"/>
  <c r="D16" i="3"/>
  <c r="H20" i="3"/>
  <c r="H20" i="24" s="1"/>
  <c r="I14" i="3"/>
  <c r="I7" i="3"/>
  <c r="D9" i="3"/>
  <c r="G16" i="3"/>
  <c r="I5" i="3"/>
  <c r="I20" i="3"/>
  <c r="H5" i="3"/>
  <c r="H5" i="24" s="1"/>
  <c r="H15" i="3"/>
  <c r="H15" i="24" s="1"/>
  <c r="I16" i="3"/>
  <c r="D7" i="3"/>
  <c r="J5" i="3"/>
  <c r="H19" i="3"/>
  <c r="H19" i="24" s="1"/>
  <c r="G24" i="3"/>
  <c r="J14" i="3"/>
  <c r="D13" i="3"/>
  <c r="F13" i="3"/>
  <c r="G9" i="3"/>
  <c r="H11" i="3"/>
  <c r="H11" i="24" s="1"/>
  <c r="J23" i="3"/>
  <c r="E5" i="3"/>
  <c r="G11" i="3"/>
  <c r="H8" i="3"/>
  <c r="H8" i="24" s="1"/>
  <c r="J11" i="3"/>
  <c r="D5" i="3"/>
  <c r="F14" i="3"/>
  <c r="I12" i="3"/>
  <c r="H14" i="3"/>
  <c r="H14" i="24" s="1"/>
  <c r="F5" i="3"/>
  <c r="E13" i="3"/>
  <c r="G8" i="3"/>
  <c r="D12" i="3"/>
  <c r="E12" i="3"/>
  <c r="F23" i="3"/>
  <c r="H24" i="3"/>
  <c r="H24" i="24" s="1"/>
  <c r="G5" i="3"/>
  <c r="I4" i="3"/>
  <c r="G21" i="3"/>
  <c r="E21" i="3"/>
  <c r="H23" i="3"/>
  <c r="H23" i="24" s="1"/>
  <c r="D20" i="3"/>
  <c r="E23" i="3"/>
  <c r="D23" i="3"/>
  <c r="F24" i="3"/>
  <c r="J24" i="3"/>
  <c r="E24" i="3"/>
  <c r="F11" i="3"/>
  <c r="G15" i="3"/>
  <c r="J22" i="3"/>
  <c r="I21" i="3"/>
  <c r="D24" i="3"/>
  <c r="F22" i="3"/>
  <c r="J6" i="3"/>
  <c r="I8" i="3"/>
  <c r="J8" i="3"/>
  <c r="E20" i="3"/>
  <c r="J12" i="3"/>
  <c r="F20" i="3"/>
  <c r="E15" i="3"/>
  <c r="J4" i="3"/>
  <c r="E8" i="3"/>
  <c r="I15" i="3"/>
  <c r="J20" i="3"/>
  <c r="J21" i="3"/>
  <c r="J13" i="3"/>
  <c r="H13" i="3"/>
  <c r="H13" i="24" s="1"/>
  <c r="G12" i="3"/>
  <c r="G17" i="3"/>
  <c r="D17" i="3"/>
  <c r="I19" i="3"/>
  <c r="D22" i="3"/>
  <c r="F8" i="3"/>
  <c r="D18" i="3"/>
  <c r="I22" i="3"/>
  <c r="J17" i="3"/>
  <c r="J15" i="3"/>
  <c r="I18" i="3"/>
  <c r="J18" i="3"/>
  <c r="H18" i="3"/>
  <c r="H18" i="24" s="1"/>
  <c r="G18" i="3"/>
  <c r="H4" i="3"/>
  <c r="H4" i="24" s="1"/>
  <c r="D8" i="3"/>
  <c r="F21" i="3"/>
  <c r="I24" i="3"/>
  <c r="G19" i="3"/>
  <c r="I11" i="3"/>
  <c r="I17" i="3"/>
  <c r="E22" i="3"/>
  <c r="H6" i="3"/>
  <c r="H6" i="24" s="1"/>
  <c r="E4" i="3"/>
  <c r="G4" i="3"/>
  <c r="D15" i="3"/>
  <c r="J19" i="3"/>
  <c r="E17" i="3"/>
  <c r="D19" i="3"/>
  <c r="F15" i="3"/>
  <c r="E19" i="3"/>
  <c r="H21" i="3"/>
  <c r="H21" i="24" s="1"/>
  <c r="G6" i="3"/>
  <c r="F6" i="3"/>
  <c r="E6" i="3"/>
  <c r="E18" i="3"/>
  <c r="I6" i="3"/>
  <c r="H12" i="3"/>
  <c r="H12" i="24" s="1"/>
  <c r="F19" i="3"/>
  <c r="H17" i="3"/>
  <c r="H17" i="24" s="1"/>
  <c r="G23" i="3"/>
  <c r="F17" i="3"/>
  <c r="F18" i="3"/>
  <c r="H22" i="3"/>
  <c r="H22" i="24" s="1"/>
  <c r="G22" i="3"/>
  <c r="D4" i="3"/>
  <c r="D21" i="3"/>
  <c r="I23" i="3"/>
  <c r="E11" i="3"/>
  <c r="D6" i="3"/>
  <c r="F12" i="3"/>
  <c r="D11" i="3"/>
  <c r="F4" i="3"/>
  <c r="B3" i="3"/>
  <c r="C3" i="3" s="1"/>
  <c r="K11" i="9"/>
  <c r="L11" i="9" s="1"/>
  <c r="K4" i="9"/>
  <c r="L4" i="9" s="1"/>
  <c r="J8" i="14"/>
  <c r="I8" i="14"/>
  <c r="F8" i="14"/>
  <c r="G8" i="14"/>
  <c r="H8" i="14"/>
  <c r="E8" i="14"/>
  <c r="D8" i="14"/>
  <c r="A8" i="15"/>
  <c r="D8" i="15" s="1"/>
  <c r="I7" i="14"/>
  <c r="G9" i="14"/>
  <c r="J9" i="14"/>
  <c r="F9" i="14"/>
  <c r="G7" i="14"/>
  <c r="D7" i="14"/>
  <c r="J7" i="14"/>
  <c r="I6" i="14"/>
  <c r="F6" i="14"/>
  <c r="A7" i="15"/>
  <c r="D7" i="15" s="1"/>
  <c r="G6" i="14"/>
  <c r="I3" i="15"/>
  <c r="C3" i="15"/>
  <c r="E9" i="14"/>
  <c r="A6" i="15"/>
  <c r="G6" i="15" s="1"/>
  <c r="A11" i="14"/>
  <c r="C11" i="14" s="1"/>
  <c r="A4" i="15"/>
  <c r="G4" i="15" s="1"/>
  <c r="C4" i="14"/>
  <c r="D4" i="14"/>
  <c r="H4" i="14"/>
  <c r="C7" i="14"/>
  <c r="E6" i="14"/>
  <c r="J6" i="14"/>
  <c r="I9" i="14"/>
  <c r="H9" i="14"/>
  <c r="D9" i="14"/>
  <c r="A9" i="15"/>
  <c r="E9" i="15" s="1"/>
  <c r="A10" i="15"/>
  <c r="H10" i="15" s="1"/>
  <c r="I10" i="14"/>
  <c r="G10" i="14"/>
  <c r="D10" i="14"/>
  <c r="F10" i="14"/>
  <c r="E10" i="14"/>
  <c r="H10" i="14"/>
  <c r="J10" i="14"/>
  <c r="H11" i="15"/>
  <c r="K11" i="15" s="1"/>
  <c r="D11" i="15"/>
  <c r="H6" i="14"/>
  <c r="C11" i="15"/>
  <c r="G11" i="15"/>
  <c r="D6" i="14"/>
  <c r="F11" i="15"/>
  <c r="E11" i="15"/>
  <c r="J11" i="15"/>
  <c r="A3" i="14"/>
  <c r="G4" i="14"/>
  <c r="I4" i="14"/>
  <c r="F7" i="14"/>
  <c r="J3" i="15"/>
  <c r="H3" i="15"/>
  <c r="J4" i="14"/>
  <c r="G3" i="15"/>
  <c r="F3" i="15"/>
  <c r="A5" i="14"/>
  <c r="A5" i="15"/>
  <c r="E4" i="14"/>
  <c r="E7" i="14"/>
  <c r="D3" i="15"/>
  <c r="C12" i="14"/>
  <c r="D12" i="14"/>
  <c r="I12" i="14"/>
  <c r="F12" i="14"/>
  <c r="J12" i="14"/>
  <c r="H12" i="14"/>
  <c r="E12" i="14"/>
  <c r="G12" i="14"/>
  <c r="H20" i="8"/>
  <c r="J12" i="8"/>
  <c r="F9" i="8"/>
  <c r="E9" i="8"/>
  <c r="G20" i="8"/>
  <c r="H9" i="8"/>
  <c r="F20" i="8"/>
  <c r="E10" i="8"/>
  <c r="C12" i="8"/>
  <c r="C19" i="8"/>
  <c r="G19" i="8"/>
  <c r="D9" i="8"/>
  <c r="D20" i="8"/>
  <c r="J20" i="8"/>
  <c r="G12" i="8"/>
  <c r="I12" i="8"/>
  <c r="I19" i="8"/>
  <c r="E6" i="8"/>
  <c r="I6" i="8"/>
  <c r="F17" i="8"/>
  <c r="G6" i="8"/>
  <c r="C6" i="8"/>
  <c r="J6" i="8"/>
  <c r="F22" i="7"/>
  <c r="I22" i="7"/>
  <c r="G22" i="7"/>
  <c r="J8" i="7"/>
  <c r="D6" i="8"/>
  <c r="H6" i="8"/>
  <c r="G9" i="8"/>
  <c r="C10" i="8"/>
  <c r="J11" i="7"/>
  <c r="I9" i="8"/>
  <c r="E20" i="8"/>
  <c r="F8" i="7"/>
  <c r="C17" i="8"/>
  <c r="J17" i="8"/>
  <c r="E17" i="8"/>
  <c r="H15" i="8"/>
  <c r="H17" i="8"/>
  <c r="E8" i="7"/>
  <c r="D22" i="7"/>
  <c r="G17" i="8"/>
  <c r="G21" i="8"/>
  <c r="D18" i="7"/>
  <c r="J18" i="7"/>
  <c r="C20" i="8"/>
  <c r="F10" i="8"/>
  <c r="D12" i="8"/>
  <c r="J10" i="8"/>
  <c r="H12" i="8"/>
  <c r="G10" i="8"/>
  <c r="C9" i="8"/>
  <c r="D19" i="8"/>
  <c r="H19" i="8"/>
  <c r="F19" i="8"/>
  <c r="E19" i="8"/>
  <c r="H11" i="8"/>
  <c r="H7" i="7"/>
  <c r="F13" i="7"/>
  <c r="E4" i="7"/>
  <c r="C5" i="8"/>
  <c r="J15" i="8"/>
  <c r="J23" i="8"/>
  <c r="G16" i="8"/>
  <c r="C15" i="8"/>
  <c r="I7" i="7"/>
  <c r="G15" i="8"/>
  <c r="F4" i="7"/>
  <c r="F21" i="8"/>
  <c r="D18" i="8"/>
  <c r="D8" i="7"/>
  <c r="F15" i="8"/>
  <c r="I4" i="7"/>
  <c r="G7" i="8"/>
  <c r="H16" i="8"/>
  <c r="D10" i="7"/>
  <c r="H13" i="7"/>
  <c r="C21" i="8"/>
  <c r="E21" i="8"/>
  <c r="A3" i="7"/>
  <c r="B3" i="7" s="1"/>
  <c r="H3" i="7" s="1"/>
  <c r="I8" i="7"/>
  <c r="G7" i="7"/>
  <c r="J7" i="8"/>
  <c r="E16" i="8"/>
  <c r="E13" i="8"/>
  <c r="F18" i="8"/>
  <c r="F10" i="7"/>
  <c r="C23" i="8"/>
  <c r="F7" i="7"/>
  <c r="I10" i="7"/>
  <c r="F20" i="7"/>
  <c r="J13" i="8"/>
  <c r="H18" i="8"/>
  <c r="C18" i="8"/>
  <c r="G12" i="7"/>
  <c r="I13" i="8"/>
  <c r="D7" i="7"/>
  <c r="G18" i="8"/>
  <c r="F13" i="8"/>
  <c r="G4" i="7"/>
  <c r="G8" i="7"/>
  <c r="E15" i="8"/>
  <c r="E5" i="8"/>
  <c r="E7" i="7"/>
  <c r="I5" i="8"/>
  <c r="H22" i="7"/>
  <c r="D15" i="8"/>
  <c r="H5" i="8"/>
  <c r="J16" i="8"/>
  <c r="J10" i="7"/>
  <c r="H20" i="7"/>
  <c r="F23" i="8"/>
  <c r="H23" i="8"/>
  <c r="E23" i="8"/>
  <c r="G20" i="7"/>
  <c r="E10" i="7"/>
  <c r="J4" i="7"/>
  <c r="H4" i="7"/>
  <c r="D11" i="8"/>
  <c r="D13" i="7"/>
  <c r="C11" i="8"/>
  <c r="D14" i="8"/>
  <c r="H21" i="8"/>
  <c r="I18" i="8"/>
  <c r="J12" i="7"/>
  <c r="D5" i="8"/>
  <c r="J5" i="8"/>
  <c r="H8" i="7"/>
  <c r="D17" i="8"/>
  <c r="G11" i="7"/>
  <c r="A3" i="8"/>
  <c r="B3" i="8" s="1"/>
  <c r="C3" i="8" s="1"/>
  <c r="D20" i="7"/>
  <c r="H10" i="7"/>
  <c r="D4" i="7"/>
  <c r="I13" i="7"/>
  <c r="F18" i="7"/>
  <c r="D10" i="8"/>
  <c r="G13" i="7"/>
  <c r="C16" i="8"/>
  <c r="H7" i="8"/>
  <c r="C9" i="7"/>
  <c r="F9" i="7"/>
  <c r="G9" i="7"/>
  <c r="I9" i="7"/>
  <c r="E9" i="7"/>
  <c r="C21" i="7"/>
  <c r="G21" i="7"/>
  <c r="I21" i="7"/>
  <c r="H21" i="7"/>
  <c r="F21" i="7"/>
  <c r="D21" i="7"/>
  <c r="C15" i="7"/>
  <c r="G15" i="7"/>
  <c r="D15" i="7"/>
  <c r="C5" i="7"/>
  <c r="J5" i="7"/>
  <c r="F5" i="7"/>
  <c r="H5" i="7"/>
  <c r="D5" i="7"/>
  <c r="G5" i="7"/>
  <c r="C17" i="7"/>
  <c r="E17" i="7"/>
  <c r="G17" i="7"/>
  <c r="F17" i="7"/>
  <c r="I17" i="7"/>
  <c r="D17" i="7"/>
  <c r="J17" i="7"/>
  <c r="F6" i="7"/>
  <c r="H6" i="7"/>
  <c r="J6" i="7"/>
  <c r="D6" i="7"/>
  <c r="C6" i="7"/>
  <c r="G6" i="7"/>
  <c r="E21" i="7"/>
  <c r="I15" i="7"/>
  <c r="E15" i="7"/>
  <c r="J21" i="7"/>
  <c r="F16" i="7"/>
  <c r="F15" i="7"/>
  <c r="J9" i="7"/>
  <c r="D9" i="7"/>
  <c r="I22" i="8"/>
  <c r="H22" i="8"/>
  <c r="F22" i="8"/>
  <c r="C22" i="8"/>
  <c r="J22" i="8"/>
  <c r="G22" i="8"/>
  <c r="E22" i="8"/>
  <c r="C23" i="7"/>
  <c r="J23" i="7"/>
  <c r="F23" i="7"/>
  <c r="I23" i="7"/>
  <c r="G23" i="7"/>
  <c r="D23" i="7"/>
  <c r="E23" i="7"/>
  <c r="E6" i="7"/>
  <c r="E5" i="7"/>
  <c r="H15" i="7"/>
  <c r="H9" i="7"/>
  <c r="J15" i="7"/>
  <c r="H17" i="7"/>
  <c r="C19" i="7"/>
  <c r="G19" i="7"/>
  <c r="J19" i="7"/>
  <c r="D19" i="7"/>
  <c r="H19" i="7"/>
  <c r="I19" i="7"/>
  <c r="F19" i="7"/>
  <c r="E19" i="7"/>
  <c r="C16" i="7"/>
  <c r="I16" i="7"/>
  <c r="D16" i="7"/>
  <c r="E16" i="7"/>
  <c r="H16" i="7"/>
  <c r="J16" i="7"/>
  <c r="I6" i="7"/>
  <c r="J8" i="8"/>
  <c r="C8" i="8"/>
  <c r="D8" i="8"/>
  <c r="I8" i="8"/>
  <c r="F8" i="8"/>
  <c r="G8" i="8"/>
  <c r="E8" i="8"/>
  <c r="H8" i="8"/>
  <c r="H4" i="8"/>
  <c r="H18" i="7"/>
  <c r="F14" i="8"/>
  <c r="F11" i="8"/>
  <c r="D12" i="7"/>
  <c r="J21" i="8"/>
  <c r="E12" i="8"/>
  <c r="G11" i="8"/>
  <c r="I21" i="8"/>
  <c r="C11" i="7"/>
  <c r="I18" i="7"/>
  <c r="E18" i="7"/>
  <c r="E14" i="7"/>
  <c r="G14" i="8"/>
  <c r="D14" i="7"/>
  <c r="D23" i="8"/>
  <c r="J4" i="8"/>
  <c r="E20" i="7"/>
  <c r="J14" i="7"/>
  <c r="F14" i="7"/>
  <c r="E12" i="7"/>
  <c r="I14" i="8"/>
  <c r="G18" i="7"/>
  <c r="D4" i="8"/>
  <c r="F16" i="8"/>
  <c r="D7" i="8"/>
  <c r="J7" i="7"/>
  <c r="I4" i="8"/>
  <c r="E11" i="7"/>
  <c r="I12" i="7"/>
  <c r="J11" i="8"/>
  <c r="G13" i="8"/>
  <c r="G4" i="8"/>
  <c r="E14" i="8"/>
  <c r="E11" i="8"/>
  <c r="H11" i="7"/>
  <c r="F11" i="7"/>
  <c r="J14" i="8"/>
  <c r="H14" i="7"/>
  <c r="G10" i="7"/>
  <c r="J20" i="7"/>
  <c r="F4" i="8"/>
  <c r="F12" i="7"/>
  <c r="J13" i="7"/>
  <c r="F5" i="8"/>
  <c r="E18" i="8"/>
  <c r="I14" i="7"/>
  <c r="E4" i="8"/>
  <c r="D13" i="8"/>
  <c r="G14" i="7"/>
  <c r="D16" i="8"/>
  <c r="E13" i="7"/>
  <c r="H10" i="8"/>
  <c r="D11" i="7"/>
  <c r="I7" i="8"/>
  <c r="I20" i="7"/>
  <c r="H12" i="7"/>
  <c r="C13" i="8"/>
  <c r="H14" i="8"/>
  <c r="G23" i="8"/>
  <c r="F7" i="8"/>
  <c r="E22" i="7"/>
  <c r="E7" i="8"/>
  <c r="J22" i="7"/>
  <c r="K9" i="9"/>
  <c r="L9" i="9" s="1"/>
  <c r="K8" i="9"/>
  <c r="L8" i="9" s="1"/>
  <c r="K15" i="9"/>
  <c r="L15" i="9" s="1"/>
  <c r="K12" i="9"/>
  <c r="L12" i="9" s="1"/>
  <c r="K6" i="9"/>
  <c r="L6" i="9" s="1"/>
  <c r="K10" i="9"/>
  <c r="L10" i="9" s="1"/>
  <c r="K13" i="9"/>
  <c r="L13" i="9" s="1"/>
  <c r="K14" i="9"/>
  <c r="L14" i="9" s="1"/>
  <c r="K7" i="9"/>
  <c r="L7" i="9" s="1"/>
  <c r="K5" i="9"/>
  <c r="L5" i="9" s="1"/>
  <c r="K6" i="12"/>
  <c r="L6" i="12" s="1"/>
  <c r="K10" i="12"/>
  <c r="L10" i="12" s="1"/>
  <c r="C3" i="12"/>
  <c r="K10" i="6"/>
  <c r="K15" i="6"/>
  <c r="K5" i="12"/>
  <c r="L5" i="12" s="1"/>
  <c r="K10" i="11"/>
  <c r="L10" i="11" s="1"/>
  <c r="C3" i="9"/>
  <c r="K8" i="11"/>
  <c r="L8" i="11" s="1"/>
  <c r="H3" i="9"/>
  <c r="K12" i="11"/>
  <c r="L12" i="11" s="1"/>
  <c r="K25" i="5"/>
  <c r="L25" i="5" s="1"/>
  <c r="E3" i="9"/>
  <c r="I3" i="9"/>
  <c r="F3" i="9"/>
  <c r="K16" i="11"/>
  <c r="L16" i="11" s="1"/>
  <c r="K6" i="13"/>
  <c r="L6" i="13" s="1"/>
  <c r="K24" i="6"/>
  <c r="K27" i="3"/>
  <c r="L27" i="3" s="1"/>
  <c r="K9" i="5"/>
  <c r="L9" i="5" s="1"/>
  <c r="K4" i="13"/>
  <c r="L4" i="13" s="1"/>
  <c r="K6" i="5"/>
  <c r="L6" i="5" s="1"/>
  <c r="L11" i="13"/>
  <c r="G3" i="9"/>
  <c r="K27" i="5"/>
  <c r="L27" i="5" s="1"/>
  <c r="K9" i="6"/>
  <c r="K14" i="6"/>
  <c r="K5" i="6"/>
  <c r="K17" i="5"/>
  <c r="L17" i="5" s="1"/>
  <c r="K7" i="5"/>
  <c r="L7" i="5" s="1"/>
  <c r="K4" i="5"/>
  <c r="K8" i="5"/>
  <c r="L8" i="5" s="1"/>
  <c r="I3" i="11"/>
  <c r="D3" i="11"/>
  <c r="K10" i="13"/>
  <c r="L10" i="13" s="1"/>
  <c r="E3" i="11"/>
  <c r="J3" i="11"/>
  <c r="F3" i="11"/>
  <c r="G3" i="11"/>
  <c r="H3" i="11"/>
  <c r="G3" i="5"/>
  <c r="D3" i="13"/>
  <c r="I3" i="5"/>
  <c r="E3" i="13"/>
  <c r="K13" i="11"/>
  <c r="L13" i="11" s="1"/>
  <c r="K5" i="5"/>
  <c r="L5" i="5" s="1"/>
  <c r="K7" i="11"/>
  <c r="L7" i="11" s="1"/>
  <c r="K22" i="5"/>
  <c r="L22" i="5" s="1"/>
  <c r="K14" i="5"/>
  <c r="L14" i="5" s="1"/>
  <c r="J3" i="12"/>
  <c r="I3" i="12"/>
  <c r="H3" i="12"/>
  <c r="K9" i="11"/>
  <c r="L9" i="11" s="1"/>
  <c r="G3" i="12"/>
  <c r="K26" i="5"/>
  <c r="L26" i="5" s="1"/>
  <c r="K5" i="13"/>
  <c r="L5" i="13" s="1"/>
  <c r="K11" i="5"/>
  <c r="L11" i="5" s="1"/>
  <c r="K6" i="11"/>
  <c r="L6" i="11" s="1"/>
  <c r="K19" i="6"/>
  <c r="K7" i="12"/>
  <c r="L7" i="12" s="1"/>
  <c r="K22" i="6"/>
  <c r="D3" i="5"/>
  <c r="I3" i="13"/>
  <c r="E3" i="5"/>
  <c r="J3" i="13"/>
  <c r="L9" i="12"/>
  <c r="F3" i="5"/>
  <c r="H3" i="5"/>
  <c r="J3" i="5"/>
  <c r="K12" i="5"/>
  <c r="L12" i="5" s="1"/>
  <c r="K19" i="5"/>
  <c r="L19" i="5" s="1"/>
  <c r="K20" i="6"/>
  <c r="K26" i="6"/>
  <c r="K18" i="5"/>
  <c r="L18" i="5" s="1"/>
  <c r="K20" i="5"/>
  <c r="L20" i="5" s="1"/>
  <c r="K17" i="6"/>
  <c r="K4" i="11"/>
  <c r="L4" i="11" s="1"/>
  <c r="K18" i="11"/>
  <c r="L18" i="11" s="1"/>
  <c r="K23" i="6"/>
  <c r="K12" i="6"/>
  <c r="K8" i="13"/>
  <c r="L8" i="13" s="1"/>
  <c r="K4" i="12"/>
  <c r="L4" i="12" s="1"/>
  <c r="K17" i="11"/>
  <c r="L17" i="11" s="1"/>
  <c r="K21" i="6"/>
  <c r="K10" i="5"/>
  <c r="L10" i="5" s="1"/>
  <c r="K13" i="6"/>
  <c r="K11" i="6"/>
  <c r="K13" i="5"/>
  <c r="L13" i="5" s="1"/>
  <c r="F3" i="13"/>
  <c r="K11" i="11"/>
  <c r="L11" i="11" s="1"/>
  <c r="K7" i="13"/>
  <c r="L7" i="13" s="1"/>
  <c r="K8" i="6"/>
  <c r="G3" i="13"/>
  <c r="K15" i="5"/>
  <c r="L15" i="5" s="1"/>
  <c r="H3" i="13"/>
  <c r="K25" i="6"/>
  <c r="K21" i="5"/>
  <c r="L21" i="5" s="1"/>
  <c r="K24" i="5"/>
  <c r="L24" i="5" s="1"/>
  <c r="J3" i="9"/>
  <c r="D3" i="12"/>
  <c r="K14" i="11"/>
  <c r="L14" i="11" s="1"/>
  <c r="E3" i="12"/>
  <c r="K15" i="11"/>
  <c r="L15" i="11" s="1"/>
  <c r="K7" i="6"/>
  <c r="K11" i="12"/>
  <c r="L11" i="12" s="1"/>
  <c r="K4" i="6"/>
  <c r="L9" i="13"/>
  <c r="L8" i="12"/>
  <c r="K18" i="6"/>
  <c r="K16" i="6"/>
  <c r="K23" i="5"/>
  <c r="L23" i="5" s="1"/>
  <c r="K16" i="5"/>
  <c r="L16" i="5" s="1"/>
  <c r="F5" i="10"/>
  <c r="J5" i="10"/>
  <c r="I5" i="10"/>
  <c r="G5" i="10"/>
  <c r="E5" i="10"/>
  <c r="D5" i="10"/>
  <c r="C5" i="10"/>
  <c r="B6" i="10"/>
  <c r="J3" i="10"/>
  <c r="I3" i="10"/>
  <c r="C3" i="10"/>
  <c r="E3" i="10"/>
  <c r="G3" i="10"/>
  <c r="D3" i="10"/>
  <c r="F3" i="10"/>
  <c r="C4" i="10"/>
  <c r="J4" i="10"/>
  <c r="F4" i="10"/>
  <c r="H4" i="10"/>
  <c r="I4" i="10"/>
  <c r="E4" i="10"/>
  <c r="D4" i="10"/>
  <c r="G4" i="10"/>
  <c r="L22" i="6" l="1"/>
  <c r="K22" i="25"/>
  <c r="L14" i="6"/>
  <c r="K14" i="25"/>
  <c r="L5" i="6"/>
  <c r="K5" i="25"/>
  <c r="L18" i="6"/>
  <c r="K18" i="25"/>
  <c r="L12" i="6"/>
  <c r="K12" i="25"/>
  <c r="L23" i="6"/>
  <c r="K23" i="25"/>
  <c r="L9" i="6"/>
  <c r="K9" i="25"/>
  <c r="L7" i="6"/>
  <c r="K7" i="25"/>
  <c r="L19" i="6"/>
  <c r="K19" i="25"/>
  <c r="L15" i="6"/>
  <c r="K15" i="25"/>
  <c r="L16" i="6"/>
  <c r="K16" i="25"/>
  <c r="L17" i="6"/>
  <c r="K17" i="25"/>
  <c r="L26" i="6"/>
  <c r="K26" i="25"/>
  <c r="L25" i="6"/>
  <c r="K25" i="25"/>
  <c r="L11" i="6"/>
  <c r="K11" i="25"/>
  <c r="L13" i="6"/>
  <c r="K13" i="25"/>
  <c r="L8" i="6"/>
  <c r="K8" i="25"/>
  <c r="L10" i="6"/>
  <c r="K10" i="25"/>
  <c r="K6" i="25"/>
  <c r="L21" i="6"/>
  <c r="K21" i="25"/>
  <c r="L24" i="6"/>
  <c r="K24" i="25"/>
  <c r="L20" i="6"/>
  <c r="K20" i="25"/>
  <c r="K4" i="25"/>
  <c r="L4" i="6"/>
  <c r="L4" i="5"/>
  <c r="H26" i="23"/>
  <c r="K26" i="3"/>
  <c r="K26" i="24" s="1"/>
  <c r="H8" i="23"/>
  <c r="H17" i="23"/>
  <c r="H9" i="23"/>
  <c r="H22" i="23"/>
  <c r="H18" i="23"/>
  <c r="H12" i="23"/>
  <c r="H11" i="23"/>
  <c r="H10" i="23"/>
  <c r="H5" i="23"/>
  <c r="H4" i="23"/>
  <c r="H25" i="23"/>
  <c r="H21" i="23"/>
  <c r="H7" i="23"/>
  <c r="H23" i="23"/>
  <c r="H19" i="23"/>
  <c r="C3" i="23"/>
  <c r="H24" i="23"/>
  <c r="H16" i="23"/>
  <c r="H15" i="23"/>
  <c r="H20" i="23"/>
  <c r="H6" i="23"/>
  <c r="H14" i="23"/>
  <c r="H13" i="23"/>
  <c r="K25" i="3"/>
  <c r="L25" i="3" s="1"/>
  <c r="K14" i="3"/>
  <c r="L14" i="3" s="1"/>
  <c r="K10" i="3"/>
  <c r="L10" i="3" s="1"/>
  <c r="K9" i="3"/>
  <c r="L9" i="3" s="1"/>
  <c r="K7" i="3"/>
  <c r="L7" i="3" s="1"/>
  <c r="K16" i="3"/>
  <c r="K16" i="24" s="1"/>
  <c r="K5" i="3"/>
  <c r="L5" i="3" s="1"/>
  <c r="K12" i="3"/>
  <c r="L12" i="3" s="1"/>
  <c r="K13" i="3"/>
  <c r="K13" i="24" s="1"/>
  <c r="D3" i="3"/>
  <c r="G3" i="3"/>
  <c r="F3" i="3"/>
  <c r="E3" i="3"/>
  <c r="K21" i="3"/>
  <c r="L21" i="3" s="1"/>
  <c r="K24" i="3"/>
  <c r="K24" i="24" s="1"/>
  <c r="K20" i="3"/>
  <c r="K20" i="24" s="1"/>
  <c r="K15" i="3"/>
  <c r="L15" i="3" s="1"/>
  <c r="K23" i="3"/>
  <c r="K23" i="24" s="1"/>
  <c r="K8" i="3"/>
  <c r="K8" i="24" s="1"/>
  <c r="K6" i="3"/>
  <c r="K6" i="24" s="1"/>
  <c r="K18" i="3"/>
  <c r="K18" i="24" s="1"/>
  <c r="K22" i="3"/>
  <c r="L22" i="3" s="1"/>
  <c r="K19" i="3"/>
  <c r="K19" i="24" s="1"/>
  <c r="K17" i="3"/>
  <c r="K17" i="24" s="1"/>
  <c r="K4" i="3"/>
  <c r="K4" i="24" s="1"/>
  <c r="K11" i="3"/>
  <c r="K11" i="24" s="1"/>
  <c r="H3" i="3"/>
  <c r="I3" i="3"/>
  <c r="J3" i="3"/>
  <c r="K7" i="14"/>
  <c r="L7" i="14" s="1"/>
  <c r="K12" i="14"/>
  <c r="L12" i="14" s="1"/>
  <c r="K9" i="14"/>
  <c r="L9" i="14" s="1"/>
  <c r="K8" i="14"/>
  <c r="L8" i="14" s="1"/>
  <c r="K10" i="14"/>
  <c r="L10" i="14" s="1"/>
  <c r="F10" i="15"/>
  <c r="C8" i="15"/>
  <c r="H8" i="15"/>
  <c r="E8" i="15"/>
  <c r="J8" i="15"/>
  <c r="G8" i="15"/>
  <c r="F8" i="15"/>
  <c r="I8" i="15"/>
  <c r="K11" i="8"/>
  <c r="E10" i="15"/>
  <c r="D10" i="15"/>
  <c r="G10" i="15"/>
  <c r="J6" i="15"/>
  <c r="D4" i="15"/>
  <c r="F7" i="15"/>
  <c r="J7" i="15"/>
  <c r="E7" i="15"/>
  <c r="C7" i="15"/>
  <c r="K6" i="14"/>
  <c r="L6" i="14" s="1"/>
  <c r="D6" i="15"/>
  <c r="D11" i="14"/>
  <c r="I4" i="15"/>
  <c r="I11" i="14"/>
  <c r="J4" i="15"/>
  <c r="I7" i="15"/>
  <c r="H11" i="14"/>
  <c r="E4" i="15"/>
  <c r="I6" i="15"/>
  <c r="K3" i="15"/>
  <c r="L3" i="15" s="1"/>
  <c r="K4" i="14"/>
  <c r="L4" i="14" s="1"/>
  <c r="G11" i="14"/>
  <c r="F6" i="15"/>
  <c r="G7" i="15"/>
  <c r="H7" i="15"/>
  <c r="H6" i="15"/>
  <c r="E11" i="14"/>
  <c r="L11" i="15"/>
  <c r="F11" i="14"/>
  <c r="J11" i="14"/>
  <c r="J10" i="15"/>
  <c r="C10" i="15"/>
  <c r="E6" i="15"/>
  <c r="C6" i="15"/>
  <c r="H4" i="15"/>
  <c r="D9" i="15"/>
  <c r="F4" i="15"/>
  <c r="C4" i="15"/>
  <c r="C9" i="15"/>
  <c r="H9" i="15"/>
  <c r="I9" i="15"/>
  <c r="G9" i="15"/>
  <c r="I10" i="15"/>
  <c r="J9" i="15"/>
  <c r="F9" i="15"/>
  <c r="G3" i="14"/>
  <c r="I3" i="14"/>
  <c r="E3" i="14"/>
  <c r="H3" i="14"/>
  <c r="D3" i="14"/>
  <c r="J3" i="14"/>
  <c r="F3" i="14"/>
  <c r="C3" i="14"/>
  <c r="I5" i="15"/>
  <c r="D5" i="15"/>
  <c r="E5" i="15"/>
  <c r="H5" i="15"/>
  <c r="J5" i="15"/>
  <c r="F5" i="15"/>
  <c r="G5" i="15"/>
  <c r="C5" i="15"/>
  <c r="D5" i="14"/>
  <c r="C5" i="14"/>
  <c r="G5" i="14"/>
  <c r="F5" i="14"/>
  <c r="E5" i="14"/>
  <c r="H5" i="14"/>
  <c r="I5" i="14"/>
  <c r="J5" i="14"/>
  <c r="K20" i="8"/>
  <c r="L20" i="8" s="1"/>
  <c r="K9" i="8"/>
  <c r="K10" i="8"/>
  <c r="K6" i="8"/>
  <c r="K19" i="8"/>
  <c r="L19" i="8" s="1"/>
  <c r="K20" i="7"/>
  <c r="L20" i="7" s="1"/>
  <c r="K4" i="8"/>
  <c r="K8" i="7"/>
  <c r="L8" i="7" s="1"/>
  <c r="K15" i="8"/>
  <c r="K7" i="7"/>
  <c r="L7" i="7" s="1"/>
  <c r="K17" i="8"/>
  <c r="K12" i="8"/>
  <c r="I3" i="7"/>
  <c r="K16" i="7"/>
  <c r="L16" i="7" s="1"/>
  <c r="F3" i="7"/>
  <c r="E3" i="7"/>
  <c r="G3" i="8"/>
  <c r="K6" i="7"/>
  <c r="L6" i="7" s="1"/>
  <c r="F3" i="8"/>
  <c r="K23" i="8"/>
  <c r="L23" i="8" s="1"/>
  <c r="E3" i="8"/>
  <c r="K11" i="7"/>
  <c r="L11" i="7" s="1"/>
  <c r="K8" i="8"/>
  <c r="G3" i="7"/>
  <c r="K16" i="8"/>
  <c r="K13" i="7"/>
  <c r="L13" i="7" s="1"/>
  <c r="D3" i="7"/>
  <c r="K13" i="8"/>
  <c r="K5" i="8"/>
  <c r="K5" i="7"/>
  <c r="L5" i="7" s="1"/>
  <c r="C3" i="7"/>
  <c r="K4" i="7"/>
  <c r="L4" i="7" s="1"/>
  <c r="K12" i="7"/>
  <c r="L12" i="7" s="1"/>
  <c r="K18" i="8"/>
  <c r="L18" i="8" s="1"/>
  <c r="K19" i="7"/>
  <c r="L19" i="7" s="1"/>
  <c r="K21" i="7"/>
  <c r="L21" i="7" s="1"/>
  <c r="K10" i="7"/>
  <c r="L10" i="7" s="1"/>
  <c r="J3" i="7"/>
  <c r="K18" i="7"/>
  <c r="L18" i="7" s="1"/>
  <c r="K22" i="8"/>
  <c r="L22" i="8" s="1"/>
  <c r="K15" i="7"/>
  <c r="L15" i="7" s="1"/>
  <c r="K14" i="7"/>
  <c r="L14" i="7" s="1"/>
  <c r="K9" i="7"/>
  <c r="L9" i="7" s="1"/>
  <c r="K17" i="7"/>
  <c r="L17" i="7" s="1"/>
  <c r="K23" i="7"/>
  <c r="L23" i="7" s="1"/>
  <c r="K21" i="8"/>
  <c r="L21" i="8" s="1"/>
  <c r="K22" i="7"/>
  <c r="L22" i="7" s="1"/>
  <c r="K14" i="8"/>
  <c r="D3" i="8"/>
  <c r="I3" i="8"/>
  <c r="H3" i="8"/>
  <c r="J3" i="8"/>
  <c r="K7" i="8"/>
  <c r="K3" i="9"/>
  <c r="L3" i="9" s="1"/>
  <c r="K3" i="11"/>
  <c r="L3" i="11" s="1"/>
  <c r="K3" i="12"/>
  <c r="L3" i="12" s="1"/>
  <c r="K3" i="13"/>
  <c r="L3" i="13" s="1"/>
  <c r="K3" i="5"/>
  <c r="L3" i="5" s="1"/>
  <c r="K5" i="10"/>
  <c r="L5" i="10" s="1"/>
  <c r="K3" i="10"/>
  <c r="L3" i="10" s="1"/>
  <c r="J6" i="10"/>
  <c r="E6" i="10"/>
  <c r="F6" i="10"/>
  <c r="G6" i="10"/>
  <c r="D6" i="10"/>
  <c r="H6" i="10"/>
  <c r="C6" i="10"/>
  <c r="I6" i="10"/>
  <c r="B7" i="10"/>
  <c r="K4" i="10"/>
  <c r="L4" i="10" s="1"/>
  <c r="L12" i="8" l="1"/>
  <c r="K12" i="21"/>
  <c r="L9" i="8"/>
  <c r="K9" i="21"/>
  <c r="L5" i="8"/>
  <c r="K5" i="21"/>
  <c r="L15" i="8"/>
  <c r="K15" i="21"/>
  <c r="L4" i="8"/>
  <c r="K4" i="21"/>
  <c r="L8" i="8"/>
  <c r="K8" i="21"/>
  <c r="L17" i="8"/>
  <c r="K17" i="21"/>
  <c r="L6" i="8"/>
  <c r="K6" i="21"/>
  <c r="L13" i="8"/>
  <c r="K13" i="21"/>
  <c r="L10" i="8"/>
  <c r="K10" i="21"/>
  <c r="L16" i="8"/>
  <c r="K16" i="21"/>
  <c r="L14" i="8"/>
  <c r="K14" i="21"/>
  <c r="L11" i="8"/>
  <c r="K11" i="21"/>
  <c r="L7" i="8"/>
  <c r="K7" i="21"/>
  <c r="K15" i="24"/>
  <c r="K7" i="24"/>
  <c r="K22" i="24"/>
  <c r="K12" i="24"/>
  <c r="K14" i="24"/>
  <c r="K25" i="24"/>
  <c r="K21" i="24"/>
  <c r="K5" i="24"/>
  <c r="K10" i="24"/>
  <c r="K9" i="24"/>
  <c r="H3" i="23"/>
  <c r="K26" i="23"/>
  <c r="L26" i="3"/>
  <c r="K7" i="23"/>
  <c r="K14" i="23"/>
  <c r="K9" i="23"/>
  <c r="K10" i="23"/>
  <c r="K22" i="23"/>
  <c r="K25" i="23"/>
  <c r="K21" i="23"/>
  <c r="K15" i="23"/>
  <c r="K12" i="23"/>
  <c r="K5" i="23"/>
  <c r="L6" i="3"/>
  <c r="K6" i="23"/>
  <c r="L8" i="3"/>
  <c r="K8" i="23"/>
  <c r="L20" i="3"/>
  <c r="K20" i="23"/>
  <c r="L16" i="3"/>
  <c r="K16" i="23"/>
  <c r="L19" i="3"/>
  <c r="K19" i="23"/>
  <c r="L23" i="3"/>
  <c r="K23" i="23"/>
  <c r="L13" i="3"/>
  <c r="K13" i="23"/>
  <c r="L18" i="3"/>
  <c r="K18" i="23"/>
  <c r="L24" i="3"/>
  <c r="K24" i="23"/>
  <c r="L11" i="3"/>
  <c r="K11" i="23"/>
  <c r="L4" i="3"/>
  <c r="K4" i="23"/>
  <c r="L17" i="3"/>
  <c r="K17" i="23"/>
  <c r="K3" i="3"/>
  <c r="L3" i="3" s="1"/>
  <c r="K10" i="15"/>
  <c r="L10" i="15" s="1"/>
  <c r="K11" i="14"/>
  <c r="L11" i="14" s="1"/>
  <c r="K8" i="15"/>
  <c r="L8" i="15" s="1"/>
  <c r="K9" i="15"/>
  <c r="L9" i="15" s="1"/>
  <c r="K4" i="15"/>
  <c r="L4" i="15" s="1"/>
  <c r="K6" i="15"/>
  <c r="L6" i="15" s="1"/>
  <c r="K7" i="15"/>
  <c r="L7" i="15" s="1"/>
  <c r="K5" i="14"/>
  <c r="L5" i="14" s="1"/>
  <c r="K5" i="15"/>
  <c r="L5" i="15" s="1"/>
  <c r="K3" i="14"/>
  <c r="L3" i="14" s="1"/>
  <c r="K3" i="7"/>
  <c r="L3" i="7" s="1"/>
  <c r="K3" i="8"/>
  <c r="K6" i="10"/>
  <c r="L6" i="10" s="1"/>
  <c r="C7" i="10"/>
  <c r="F7" i="10"/>
  <c r="J7" i="10"/>
  <c r="I7" i="10"/>
  <c r="H7" i="10"/>
  <c r="G7" i="10"/>
  <c r="E7" i="10"/>
  <c r="D7" i="10"/>
  <c r="B8" i="10"/>
  <c r="L3" i="8" l="1"/>
  <c r="K3" i="21"/>
  <c r="K3" i="23"/>
  <c r="K7" i="10"/>
  <c r="L7" i="10" s="1"/>
  <c r="B9" i="10"/>
  <c r="G8" i="10"/>
  <c r="F8" i="10"/>
  <c r="J8" i="10"/>
  <c r="C8" i="10"/>
  <c r="E8" i="10"/>
  <c r="I8" i="10"/>
  <c r="H8" i="10"/>
  <c r="D8" i="10"/>
  <c r="K8" i="10" l="1"/>
  <c r="L8" i="10" s="1"/>
  <c r="D9" i="10"/>
  <c r="J9" i="10"/>
  <c r="I9" i="10"/>
  <c r="F9" i="10"/>
  <c r="E9" i="10"/>
  <c r="C9" i="10"/>
  <c r="H9" i="10"/>
  <c r="G9" i="10"/>
  <c r="B10" i="10"/>
  <c r="H10" i="10" l="1"/>
  <c r="E10" i="10"/>
  <c r="F10" i="10"/>
  <c r="D10" i="10"/>
  <c r="C10" i="10"/>
  <c r="J10" i="10"/>
  <c r="G10" i="10"/>
  <c r="I10" i="10"/>
  <c r="B11" i="10"/>
  <c r="K9" i="10"/>
  <c r="L9" i="10" s="1"/>
  <c r="K10" i="10" l="1"/>
  <c r="L10" i="10" s="1"/>
  <c r="B12" i="10"/>
  <c r="F11" i="10"/>
  <c r="C11" i="10"/>
  <c r="E11" i="10"/>
  <c r="H11" i="10"/>
  <c r="J11" i="10"/>
  <c r="I11" i="10"/>
  <c r="G11" i="10"/>
  <c r="D11" i="10"/>
  <c r="K11" i="10" l="1"/>
  <c r="L11" i="10" s="1"/>
  <c r="J12" i="10"/>
  <c r="H12" i="10"/>
  <c r="D12" i="10"/>
  <c r="I12" i="10"/>
  <c r="G12" i="10"/>
  <c r="F12" i="10"/>
  <c r="E12" i="10"/>
  <c r="C12" i="10"/>
  <c r="B13" i="10"/>
  <c r="K12" i="10" l="1"/>
  <c r="L12" i="10" s="1"/>
  <c r="B14" i="10"/>
  <c r="E13" i="10"/>
  <c r="G13" i="10"/>
  <c r="D13" i="10"/>
  <c r="J13" i="10"/>
  <c r="I13" i="10"/>
  <c r="H13" i="10"/>
  <c r="F13" i="10"/>
  <c r="C13" i="10"/>
  <c r="K13" i="10" l="1"/>
  <c r="L13" i="10" s="1"/>
  <c r="E14" i="10"/>
  <c r="D14" i="10"/>
  <c r="C14" i="10"/>
  <c r="J14" i="10"/>
  <c r="I14" i="10"/>
  <c r="H14" i="10"/>
  <c r="G14" i="10"/>
  <c r="F14" i="10"/>
  <c r="B15" i="10"/>
  <c r="G15" i="10" l="1"/>
  <c r="D15" i="10"/>
  <c r="J15" i="10"/>
  <c r="H15" i="10"/>
  <c r="F15" i="10"/>
  <c r="E15" i="10"/>
  <c r="C15" i="10"/>
  <c r="I15" i="10"/>
  <c r="K14" i="10"/>
  <c r="L14" i="10" s="1"/>
  <c r="B16" i="10"/>
  <c r="K15" i="10" l="1"/>
  <c r="L15" i="10" s="1"/>
  <c r="B17" i="10"/>
  <c r="F16" i="10"/>
  <c r="H16" i="10"/>
  <c r="E16" i="10"/>
  <c r="G16" i="10"/>
  <c r="J16" i="10"/>
  <c r="I16" i="10"/>
  <c r="D16" i="10"/>
  <c r="C16" i="10"/>
  <c r="K16" i="10" l="1"/>
  <c r="L16" i="10" s="1"/>
  <c r="D17" i="10"/>
  <c r="C17" i="10"/>
  <c r="I17" i="10"/>
  <c r="E17" i="10"/>
  <c r="H17" i="10"/>
  <c r="G17" i="10"/>
  <c r="J17" i="10"/>
  <c r="F17" i="10"/>
  <c r="B18" i="10"/>
  <c r="B19" i="10" l="1"/>
  <c r="K17" i="10"/>
  <c r="L17" i="10" s="1"/>
  <c r="E18" i="10"/>
  <c r="H18" i="10"/>
  <c r="I18" i="10"/>
  <c r="G18" i="10"/>
  <c r="J18" i="10"/>
  <c r="F18" i="10"/>
  <c r="C18" i="10"/>
  <c r="D18" i="10"/>
  <c r="K18" i="10" l="1"/>
  <c r="L18" i="10" s="1"/>
  <c r="I19" i="10"/>
  <c r="E19" i="10"/>
  <c r="J19" i="10"/>
  <c r="G19" i="10"/>
  <c r="D19" i="10"/>
  <c r="H19" i="10"/>
  <c r="F19" i="10"/>
  <c r="C19" i="10"/>
  <c r="B20" i="10"/>
  <c r="K19" i="10" l="1"/>
  <c r="L19" i="10" s="1"/>
  <c r="B21" i="10"/>
  <c r="I20" i="10"/>
  <c r="C20" i="10"/>
  <c r="H20" i="10"/>
  <c r="F20" i="10"/>
  <c r="G20" i="10"/>
  <c r="D20" i="10"/>
  <c r="E20" i="10"/>
  <c r="J20" i="10"/>
  <c r="K20" i="10" l="1"/>
  <c r="L20" i="10" s="1"/>
  <c r="D21" i="10"/>
  <c r="H21" i="10"/>
  <c r="C21" i="10"/>
  <c r="E21" i="10"/>
  <c r="J21" i="10"/>
  <c r="I21" i="10"/>
  <c r="G21" i="10"/>
  <c r="F21" i="10"/>
  <c r="B22" i="10"/>
  <c r="C22" i="10" l="1"/>
  <c r="G22" i="10"/>
  <c r="F22" i="10"/>
  <c r="D22" i="10"/>
  <c r="H22" i="10"/>
  <c r="E22" i="10"/>
  <c r="J22" i="10"/>
  <c r="I22" i="10"/>
  <c r="K21" i="10"/>
  <c r="L21" i="10" s="1"/>
  <c r="K22" i="10" l="1"/>
  <c r="L22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<sst xmlns="http://schemas.openxmlformats.org/spreadsheetml/2006/main" count="837" uniqueCount="308">
  <si>
    <t>CME</t>
  </si>
  <si>
    <t>F</t>
  </si>
  <si>
    <t>Jan</t>
  </si>
  <si>
    <t>MPC</t>
  </si>
  <si>
    <t>EMP</t>
  </si>
  <si>
    <t>H26</t>
  </si>
  <si>
    <t>J26</t>
  </si>
  <si>
    <t>G</t>
  </si>
  <si>
    <t>Feb</t>
  </si>
  <si>
    <t>M26</t>
  </si>
  <si>
    <t>K26</t>
  </si>
  <si>
    <t>instrument ID</t>
  </si>
  <si>
    <t>H</t>
  </si>
  <si>
    <t>Mar</t>
  </si>
  <si>
    <t>U26</t>
  </si>
  <si>
    <t>Name</t>
  </si>
  <si>
    <t>J</t>
  </si>
  <si>
    <t>Apr</t>
  </si>
  <si>
    <t>Z26</t>
  </si>
  <si>
    <t>N26</t>
  </si>
  <si>
    <t>K</t>
  </si>
  <si>
    <t>May</t>
  </si>
  <si>
    <t>H27</t>
  </si>
  <si>
    <t>Q26</t>
  </si>
  <si>
    <t>M</t>
  </si>
  <si>
    <t>Jun</t>
  </si>
  <si>
    <t>M27</t>
  </si>
  <si>
    <t>N</t>
  </si>
  <si>
    <t>Jul</t>
  </si>
  <si>
    <t>U27</t>
  </si>
  <si>
    <t>V26</t>
  </si>
  <si>
    <t>Bid</t>
  </si>
  <si>
    <t>Q</t>
  </si>
  <si>
    <t>Aug</t>
  </si>
  <si>
    <t>Z27</t>
  </si>
  <si>
    <t>X26</t>
  </si>
  <si>
    <t>Ask</t>
  </si>
  <si>
    <t>U</t>
  </si>
  <si>
    <t>Sep</t>
  </si>
  <si>
    <t>H28</t>
  </si>
  <si>
    <t>V</t>
  </si>
  <si>
    <t>Oct</t>
  </si>
  <si>
    <t>M28</t>
  </si>
  <si>
    <t>F27</t>
  </si>
  <si>
    <t>Last</t>
  </si>
  <si>
    <t>X</t>
  </si>
  <si>
    <t>Nov</t>
  </si>
  <si>
    <t>U28</t>
  </si>
  <si>
    <t>G27</t>
  </si>
  <si>
    <t>Z</t>
  </si>
  <si>
    <t>Dec</t>
  </si>
  <si>
    <t>Z28</t>
  </si>
  <si>
    <t>H29</t>
  </si>
  <si>
    <t>J27</t>
  </si>
  <si>
    <t>M29</t>
  </si>
  <si>
    <t>K27</t>
  </si>
  <si>
    <t>CTQ</t>
  </si>
  <si>
    <t>U29</t>
  </si>
  <si>
    <t>Z29</t>
  </si>
  <si>
    <t>N27</t>
  </si>
  <si>
    <t>H30</t>
  </si>
  <si>
    <t>Q27</t>
  </si>
  <si>
    <t>M30</t>
  </si>
  <si>
    <t>U30</t>
  </si>
  <si>
    <t>V27</t>
  </si>
  <si>
    <t>Settle</t>
  </si>
  <si>
    <t>Z30</t>
  </si>
  <si>
    <t>X27</t>
  </si>
  <si>
    <t>H31</t>
  </si>
  <si>
    <t>M31</t>
  </si>
  <si>
    <t>U31</t>
  </si>
  <si>
    <t>J28</t>
  </si>
  <si>
    <t>F28</t>
  </si>
  <si>
    <t>Z31</t>
  </si>
  <si>
    <t>K28</t>
  </si>
  <si>
    <t>G28</t>
  </si>
  <si>
    <t>H32</t>
  </si>
  <si>
    <t>M32</t>
  </si>
  <si>
    <t>U32</t>
  </si>
  <si>
    <t>V28</t>
  </si>
  <si>
    <t>meeting dates</t>
  </si>
  <si>
    <t>USA</t>
  </si>
  <si>
    <t>ER</t>
  </si>
  <si>
    <t>SO3</t>
  </si>
  <si>
    <t>CRA</t>
  </si>
  <si>
    <t>SA3</t>
  </si>
  <si>
    <t>SR3</t>
  </si>
  <si>
    <t>Status</t>
  </si>
  <si>
    <t xml:space="preserve"> Mid</t>
  </si>
  <si>
    <t>ZQE</t>
  </si>
  <si>
    <t>ZQ</t>
  </si>
  <si>
    <t>SR1</t>
  </si>
  <si>
    <t>ICE_L</t>
  </si>
  <si>
    <t>I</t>
  </si>
  <si>
    <t>ESTR</t>
  </si>
  <si>
    <t>ER3</t>
  </si>
  <si>
    <t>(ESTR based)</t>
  </si>
  <si>
    <t>(SONIA based)</t>
  </si>
  <si>
    <t>MX</t>
  </si>
  <si>
    <t>VX</t>
  </si>
  <si>
    <t>CFE</t>
  </si>
  <si>
    <t>FVS</t>
  </si>
  <si>
    <t>Eurex</t>
  </si>
  <si>
    <t>today's date -1</t>
  </si>
  <si>
    <t xml:space="preserve">hence first contract </t>
  </si>
  <si>
    <t>row #</t>
  </si>
  <si>
    <t>today's date</t>
  </si>
  <si>
    <t>#euro contract are behind by  2 days</t>
  </si>
  <si>
    <t>start of tenure (SR3)</t>
  </si>
  <si>
    <t>Qtr</t>
  </si>
  <si>
    <t>contracts after first contract</t>
  </si>
  <si>
    <t>U25</t>
  </si>
  <si>
    <t>F25</t>
  </si>
  <si>
    <t>Z25</t>
  </si>
  <si>
    <t>G25</t>
  </si>
  <si>
    <t>H25</t>
  </si>
  <si>
    <t>J25</t>
  </si>
  <si>
    <t>K25</t>
  </si>
  <si>
    <t>M25</t>
  </si>
  <si>
    <t>N25</t>
  </si>
  <si>
    <t>Q25</t>
  </si>
  <si>
    <t>V25</t>
  </si>
  <si>
    <t>X25</t>
  </si>
  <si>
    <t>F26</t>
  </si>
  <si>
    <t>G26</t>
  </si>
  <si>
    <t>Z32</t>
  </si>
  <si>
    <t>H33</t>
  </si>
  <si>
    <t>M33</t>
  </si>
  <si>
    <t>U33</t>
  </si>
  <si>
    <t>Z33</t>
  </si>
  <si>
    <t>H34</t>
  </si>
  <si>
    <t>M34</t>
  </si>
  <si>
    <t>U34</t>
  </si>
  <si>
    <t>Z34</t>
  </si>
  <si>
    <t>H35</t>
  </si>
  <si>
    <t>M35</t>
  </si>
  <si>
    <t>U35</t>
  </si>
  <si>
    <t>Z35</t>
  </si>
  <si>
    <t>H36</t>
  </si>
  <si>
    <t>N28</t>
  </si>
  <si>
    <t>M36</t>
  </si>
  <si>
    <t>Q28</t>
  </si>
  <si>
    <t>U36</t>
  </si>
  <si>
    <t>Z36</t>
  </si>
  <si>
    <t>H37</t>
  </si>
  <si>
    <t>X28</t>
  </si>
  <si>
    <t>M37</t>
  </si>
  <si>
    <t>U37</t>
  </si>
  <si>
    <t>F29</t>
  </si>
  <si>
    <t>Z37</t>
  </si>
  <si>
    <t>G29</t>
  </si>
  <si>
    <t>H39</t>
  </si>
  <si>
    <t>M39</t>
  </si>
  <si>
    <t>J29</t>
  </si>
  <si>
    <t>U39</t>
  </si>
  <si>
    <t>K29</t>
  </si>
  <si>
    <t>Z39</t>
  </si>
  <si>
    <t>H40</t>
  </si>
  <si>
    <t>N29</t>
  </si>
  <si>
    <t>M40</t>
  </si>
  <si>
    <t>Q29</t>
  </si>
  <si>
    <t>U40</t>
  </si>
  <si>
    <t>Z40</t>
  </si>
  <si>
    <t>V29</t>
  </si>
  <si>
    <t>X29</t>
  </si>
  <si>
    <t>F30</t>
  </si>
  <si>
    <t>G30</t>
  </si>
  <si>
    <t>J30</t>
  </si>
  <si>
    <t>K30</t>
  </si>
  <si>
    <t>N30</t>
  </si>
  <si>
    <t>Q30</t>
  </si>
  <si>
    <t>V30</t>
  </si>
  <si>
    <t>X30</t>
  </si>
  <si>
    <t>F31</t>
  </si>
  <si>
    <t>G31</t>
  </si>
  <si>
    <t>J31</t>
  </si>
  <si>
    <t>K31</t>
  </si>
  <si>
    <t>N31</t>
  </si>
  <si>
    <t>Q31</t>
  </si>
  <si>
    <t>V31</t>
  </si>
  <si>
    <t>X31</t>
  </si>
  <si>
    <t>F32</t>
  </si>
  <si>
    <t>G32</t>
  </si>
  <si>
    <t>J32</t>
  </si>
  <si>
    <t>K32</t>
  </si>
  <si>
    <t>N32</t>
  </si>
  <si>
    <t>Q32</t>
  </si>
  <si>
    <t>V32</t>
  </si>
  <si>
    <t>X32</t>
  </si>
  <si>
    <t>F33</t>
  </si>
  <si>
    <t>G33</t>
  </si>
  <si>
    <t>J33</t>
  </si>
  <si>
    <t>K33</t>
  </si>
  <si>
    <t>N33</t>
  </si>
  <si>
    <t>Q33</t>
  </si>
  <si>
    <t>V33</t>
  </si>
  <si>
    <t>X33</t>
  </si>
  <si>
    <t>F34</t>
  </si>
  <si>
    <t>G34</t>
  </si>
  <si>
    <t>J34</t>
  </si>
  <si>
    <t>K34</t>
  </si>
  <si>
    <t>N34</t>
  </si>
  <si>
    <t>Q34</t>
  </si>
  <si>
    <t>V34</t>
  </si>
  <si>
    <t>X34</t>
  </si>
  <si>
    <t xml:space="preserve"> Last</t>
  </si>
  <si>
    <t>SR3/SO3/SA3/CRA/ER3</t>
  </si>
  <si>
    <t>this is expiry of corresponding contract</t>
  </si>
  <si>
    <t>month+1</t>
  </si>
  <si>
    <t>year of +1 month</t>
  </si>
  <si>
    <t>third Friday</t>
  </si>
  <si>
    <t>third Friday-30</t>
  </si>
  <si>
    <t>VX/FVS</t>
  </si>
  <si>
    <t>mpc</t>
  </si>
  <si>
    <t>emp</t>
  </si>
  <si>
    <t>SR3 n-qtr</t>
  </si>
  <si>
    <t>ER n-QTR</t>
  </si>
  <si>
    <t>SZI0</t>
  </si>
  <si>
    <t>ER n-qtr</t>
  </si>
  <si>
    <t>[1, 0, -1]</t>
  </si>
  <si>
    <t>[1, 0, 0, 0, -1]</t>
  </si>
  <si>
    <t>[1, -2, 1]</t>
  </si>
  <si>
    <t>[1, -1, -1, 1]</t>
  </si>
  <si>
    <t>[1, 0, -2, 0, 1]</t>
  </si>
  <si>
    <t>[1, 0, -1, 0, -1, 0, 1]</t>
  </si>
  <si>
    <t>[1, -1, 0, 0, -1, 1]</t>
  </si>
  <si>
    <t>[1, 0, 0, -1, -1, 0, 0, 1]</t>
  </si>
  <si>
    <t>[1, 0, 0, 0, -2, 0, 0, 0, 1]</t>
  </si>
  <si>
    <t>Out</t>
  </si>
  <si>
    <t>S3</t>
  </si>
  <si>
    <t>S6</t>
  </si>
  <si>
    <t>S12</t>
  </si>
  <si>
    <t>L3</t>
  </si>
  <si>
    <t>L6</t>
  </si>
  <si>
    <t>S3- S3 (n+2)</t>
  </si>
  <si>
    <t>S6- S6 (n+1)</t>
  </si>
  <si>
    <t>S12- S12 (n+1)</t>
  </si>
  <si>
    <t>S12- S12 (n+2)</t>
  </si>
  <si>
    <t>S12- S12 (n+3)</t>
  </si>
  <si>
    <t>L12</t>
  </si>
  <si>
    <t>[1, -3, 3, -1]</t>
  </si>
  <si>
    <t>[1, -2, 0, 2, -1]</t>
  </si>
  <si>
    <t>[1, -1, -2, 2, 1, -1]</t>
  </si>
  <si>
    <t>[1, 0, -3, 0, 3, 0, -1]</t>
  </si>
  <si>
    <t>[1, 0, -2, -1, 1, 2, 0, -1]</t>
  </si>
  <si>
    <t>[1, 0, -2, 0, 0, 0, 2, 0, -1]</t>
  </si>
  <si>
    <t>[1, -1, 0, 0, -2, 2, 0, 0, 1, -1]</t>
  </si>
  <si>
    <t>[1, 0, -1, 0, -2, 0, 2, 0, 1, 0, -1]</t>
  </si>
  <si>
    <t>[1,-4,6,-4,1]</t>
  </si>
  <si>
    <t>[1, -1, -3, 3, 3, -3, -1, 1]</t>
  </si>
  <si>
    <t>[1, 0, -4, 0, 6, 0, -4, 0, 1]</t>
  </si>
  <si>
    <t>D3</t>
  </si>
  <si>
    <t>L3- L3 (n+2)</t>
  </si>
  <si>
    <t>L6- L6 (n+1)</t>
  </si>
  <si>
    <t>D6</t>
  </si>
  <si>
    <t>L6- L6 (n+3)</t>
  </si>
  <si>
    <t>L6- L6 (n+4)</t>
  </si>
  <si>
    <t>L12- L12 (n+1)</t>
  </si>
  <si>
    <t>L12- L12 (n+2)</t>
  </si>
  <si>
    <t>D3- D3 (n+1)</t>
  </si>
  <si>
    <t>D6- D6 (n+1)</t>
  </si>
  <si>
    <t>D6- D6 (n+2)</t>
  </si>
  <si>
    <t>[1, -1]</t>
  </si>
  <si>
    <t>[1, -2, -2, 4, 1, -2]</t>
  </si>
  <si>
    <t>[2, -3, -4, 6, 2, -3]</t>
  </si>
  <si>
    <t>[1, 0, -4, 0, 5, 0, -2]</t>
  </si>
  <si>
    <t>[2, 0, -7, 0, 8, 0, -3]</t>
  </si>
  <si>
    <t>[2, -7, 8, -3]</t>
  </si>
  <si>
    <t>[1, -2, -1, 4, -2]</t>
  </si>
  <si>
    <t>1x L6- 2x L6(n+1)</t>
  </si>
  <si>
    <t>2x L6- 3x L6(n+1)</t>
  </si>
  <si>
    <t>1x L6- 2x L6(n+2)</t>
  </si>
  <si>
    <t>2x L6- 3x L6(n+2)</t>
  </si>
  <si>
    <t>1x L3- 2x L3(n+1)</t>
  </si>
  <si>
    <t>2x L3- 3x L3(n+1)</t>
  </si>
  <si>
    <t>1x L3- 2x L3(n+2)</t>
  </si>
  <si>
    <t>2x L3- 3x L3(n+2)</t>
  </si>
  <si>
    <t>[1, -4, 5, -2]</t>
  </si>
  <si>
    <t>[2, -4, -1, 6, -3]</t>
  </si>
  <si>
    <t>[2,-3,1]</t>
  </si>
  <si>
    <t>[2,-5,3]</t>
  </si>
  <si>
    <t>[3,-5,2]</t>
  </si>
  <si>
    <t>1x S1- 2x S1 (n+1)</t>
  </si>
  <si>
    <t>2x S1- 1x S1 (n+1)</t>
  </si>
  <si>
    <t>2x S1- 3x S1 (n+1)</t>
  </si>
  <si>
    <t>3x S1- 2x S1 (n+1)</t>
  </si>
  <si>
    <t>1x O- 2x O (n+1)</t>
  </si>
  <si>
    <t>2x O- 1x O (n+1)</t>
  </si>
  <si>
    <t>2x O- 3x O (n+1)</t>
  </si>
  <si>
    <t>3x O- 2x O (n+1)</t>
  </si>
  <si>
    <t>ratio</t>
  </si>
  <si>
    <t>name</t>
  </si>
  <si>
    <t>group</t>
  </si>
  <si>
    <t>spread</t>
  </si>
  <si>
    <t>Dfly</t>
  </si>
  <si>
    <t>Efly</t>
  </si>
  <si>
    <t>Fly</t>
  </si>
  <si>
    <t>L6 ratios</t>
  </si>
  <si>
    <t>L3 ratios</t>
  </si>
  <si>
    <t>S1 ratios</t>
  </si>
  <si>
    <t>Out ratio</t>
  </si>
  <si>
    <t>[0.01]</t>
  </si>
  <si>
    <t>[1, -3,  2]</t>
  </si>
  <si>
    <t>[0.01, -0.02]</t>
  </si>
  <si>
    <t>[0.02,  -0.01]</t>
  </si>
  <si>
    <t>[0.02,  -0.03]</t>
  </si>
  <si>
    <t>[0.03,  -0.02]</t>
  </si>
  <si>
    <t>SR3 vs SO3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</si>
</sst>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C2D3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16" fontId="0" fillId="0" borderId="0" xfId="0" applyNumberFormat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left"/>
    </xf>
    <xf numFmtId="0" fontId="0" fillId="4" borderId="0" xfId="0" applyFill="1"/>
    <xf numFmtId="2" fontId="0" fillId="4" borderId="0" xfId="0" applyNumberFormat="1" applyFill="1"/>
    <xf numFmtId="0" fontId="2" fillId="0" borderId="0" xfId="0" applyFont="1" applyAlignment="1">
      <alignment horizontal="left"/>
    </xf>
    <xf numFmtId="16" fontId="0" fillId="3" borderId="0" xfId="0" applyNumberFormat="1" applyFill="1"/>
    <xf numFmtId="16" fontId="2" fillId="3" borderId="0" xfId="0" applyNumberFormat="1" applyFont="1" applyFill="1"/>
    <xf numFmtId="0" fontId="0" fillId="5" borderId="0" xfId="0" applyFill="1"/>
    <xf numFmtId="0" fontId="2" fillId="5" borderId="0" xfId="0" applyFont="1" applyFill="1" applyAlignment="1">
      <alignment horizontal="center" vertical="center"/>
    </xf>
    <xf numFmtId="2" fontId="0" fillId="5" borderId="0" xfId="0" applyNumberFormat="1" applyFill="1"/>
    <xf numFmtId="0" fontId="2" fillId="2" borderId="0" xfId="0" applyFont="1" applyFill="1" applyAlignment="1">
      <alignment horizontal="center" vertical="center"/>
    </xf>
    <xf numFmtId="2" fontId="0" fillId="2" borderId="0" xfId="0" applyNumberFormat="1" applyFill="1"/>
    <xf numFmtId="1" fontId="0" fillId="0" borderId="0" xfId="0" applyNumberFormat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0" fillId="0" borderId="4" xfId="0" applyNumberFormat="1" applyBorder="1"/>
    <xf numFmtId="0" fontId="2" fillId="0" borderId="4" xfId="0" applyFont="1" applyBorder="1"/>
    <xf numFmtId="1" fontId="0" fillId="0" borderId="0" xfId="1" applyNumberFormat="1" applyFont="1" applyFill="1" applyBorder="1"/>
    <xf numFmtId="14" fontId="0" fillId="0" borderId="6" xfId="0" applyNumberForma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/>
    <xf numFmtId="1" fontId="0" fillId="0" borderId="0" xfId="1" applyNumberFormat="1" applyFont="1"/>
    <xf numFmtId="0" fontId="0" fillId="0" borderId="5" xfId="0" applyBorder="1" applyAlignment="1">
      <alignment horizontal="left"/>
    </xf>
    <xf numFmtId="0" fontId="2" fillId="0" borderId="1" xfId="0" applyFont="1" applyBorder="1"/>
    <xf numFmtId="0" fontId="2" fillId="0" borderId="3" xfId="0" applyFont="1" applyBorder="1"/>
    <xf numFmtId="16" fontId="0" fillId="0" borderId="4" xfId="0" applyNumberFormat="1" applyBorder="1"/>
    <xf numFmtId="16" fontId="0" fillId="0" borderId="5" xfId="0" applyNumberFormat="1" applyBorder="1"/>
    <xf numFmtId="14" fontId="0" fillId="0" borderId="0" xfId="0" applyNumberFormat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t.rtd">
      <tp t="s">
        <v>Open</v>
        <stp/>
        <stp>Instr</stp>
        <stp>Eurex</stp>
        <stp>FVS</stp>
        <stp>FUTURE</stp>
        <stp>Nov26</stp>
        <stp>Status</stp>
        <tr r="I8" s="15"/>
      </tp>
      <tp t="s">
        <v>22.35</v>
        <stp/>
        <stp>Instr</stp>
        <stp>Eurex</stp>
        <stp>FVS</stp>
        <stp>FUTURE</stp>
        <stp>Nov26</stp>
        <stp>Settle</stp>
        <tr r="H8" s="15"/>
      </tp>
      <tp t="s">
        <v>"Invalid instrument"</v>
        <stp/>
        <stp>Instr</stp>
        <stp>Eurex</stp>
        <stp>FVS</stp>
        <stp>FUTURE</stp>
        <stp>Jan27</stp>
        <stp>Settle</stp>
        <tr r="H10" s="15"/>
      </tp>
      <tp t="s">
        <v>"Invalid instrument"</v>
        <stp/>
        <stp>Instr</stp>
        <stp>Eurex</stp>
        <stp>FVS</stp>
        <stp>FUTURE</stp>
        <stp>Jan27</stp>
        <stp>Status</stp>
        <tr r="I10" s="15"/>
      </tp>
      <tp t="s">
        <v>"services.rtd.invalidInstrumentFormat"</v>
        <stp/>
        <stp>"services.rtd.failedToFindInstrument"</stp>
        <stp>Bid</stp>
        <tr r="E10" s="13"/>
        <tr r="E11" s="13"/>
        <tr r="E8" s="13"/>
        <tr r="E15" s="9"/>
        <tr r="E8" s="12"/>
        <tr r="E10" s="12"/>
        <tr r="E11" s="12"/>
        <tr r="E6" s="12"/>
        <tr r="E7" s="12"/>
        <tr r="E9" s="13"/>
        <tr r="E9" s="12"/>
      </tp>
      <tp t="s">
        <v>"services.rtd.invalidInstrumentFormat"</v>
        <stp/>
        <stp>"services.rtd.failedToFindInstrument"</stp>
        <stp>CTQ</stp>
        <tr r="G10" s="12"/>
        <tr r="G7" s="12"/>
        <tr r="J11" s="13"/>
        <tr r="J11" s="12"/>
        <tr r="J10" s="12"/>
        <tr r="G11" s="12"/>
        <tr r="G11" s="13"/>
        <tr r="J7" s="12"/>
        <tr r="J9" s="13"/>
        <tr r="J8" s="12"/>
        <tr r="G8" s="13"/>
        <tr r="G6" s="12"/>
        <tr r="J10" s="13"/>
        <tr r="G8" s="12"/>
        <tr r="J9" s="12"/>
        <tr r="G15" s="9"/>
        <tr r="J8" s="13"/>
        <tr r="G10" s="13"/>
        <tr r="G9" s="12"/>
        <tr r="J15" s="9"/>
        <tr r="J6" s="12"/>
        <tr r="G9" s="13"/>
      </tp>
      <tp t="s">
        <v>Open</v>
        <stp/>
        <stp>Instr</stp>
        <stp>Eurex</stp>
        <stp>FVS</stp>
        <stp>FUTURE</stp>
        <stp>Oct26</stp>
        <stp>Status</stp>
        <tr r="I7" s="15"/>
      </tp>
      <tp t="s">
        <v>22.85</v>
        <stp/>
        <stp>Instr</stp>
        <stp>Eurex</stp>
        <stp>FVS</stp>
        <stp>FUTURE</stp>
        <stp>Oct26</stp>
        <stp>Settle</stp>
        <tr r="H7" s="15"/>
      </tp>
      <tp t="s">
        <v>"services.rtd.invalidInstrumentFormat"</v>
        <stp/>
        <stp>"services.rtd.failedToFindInstrument"</stp>
        <stp>Ask</stp>
        <tr r="D8" s="12"/>
        <tr r="D10" s="13"/>
        <tr r="D11" s="13"/>
        <tr r="D7" s="12"/>
        <tr r="D9" s="12"/>
        <tr r="D8" s="13"/>
        <tr r="D6" s="12"/>
        <tr r="D9" s="13"/>
        <tr r="D15" s="9"/>
        <tr r="D10" s="12"/>
        <tr r="D11" s="12"/>
      </tp>
      <tp t="s">
        <v>21.90</v>
        <stp/>
        <stp>Instr</stp>
        <stp>Eurex</stp>
        <stp>FVS</stp>
        <stp>FUTURE</stp>
        <stp>Dec26</stp>
        <stp>Settle</stp>
        <tr r="H9" s="15"/>
      </tp>
      <tp t="s">
        <v>"Invalid instrument"</v>
        <stp/>
        <stp>Instr</stp>
        <stp>Eurex</stp>
        <stp>FVS</stp>
        <stp>FUTURE</stp>
        <stp>Feb27</stp>
        <stp>Settle</stp>
        <tr r="H11" s="15"/>
      </tp>
      <tp t="s">
        <v>Open</v>
        <stp/>
        <stp>Instr</stp>
        <stp>Eurex</stp>
        <stp>FVS</stp>
        <stp>FUTURE</stp>
        <stp>Sep26</stp>
        <stp>Status</stp>
        <tr r="I6" s="15"/>
      </tp>
      <tp t="s">
        <v>22.80</v>
        <stp/>
        <stp>Instr</stp>
        <stp>Eurex</stp>
        <stp>FVS</stp>
        <stp>FUTURE</stp>
        <stp>Sep26</stp>
        <stp>Settle</stp>
        <tr r="H6" s="15"/>
      </tp>
      <tp t="s">
        <v>"Invalid instrument"</v>
        <stp/>
        <stp>Instr</stp>
        <stp>Eurex</stp>
        <stp>FVS</stp>
        <stp>FUTURE</stp>
        <stp>Feb27</stp>
        <stp>Status</stp>
        <tr r="I11" s="15"/>
      </tp>
      <tp t="s">
        <v>Open</v>
        <stp/>
        <stp>Instr</stp>
        <stp>Eurex</stp>
        <stp>FVS</stp>
        <stp>FUTURE</stp>
        <stp>Dec26</stp>
        <stp>Status</stp>
        <tr r="I9" s="15"/>
      </tp>
      <tp t="s">
        <v>"services.rtd.invalidInstrumentFormat"</v>
        <stp/>
        <stp>"services.rtd.failedToFindInstrument"</stp>
        <stp>Status</stp>
        <tr r="I7" s="12"/>
        <tr r="I8" s="13"/>
        <tr r="I11" s="12"/>
        <tr r="I9" s="12"/>
        <tr r="I9" s="13"/>
        <tr r="I10" s="12"/>
        <tr r="I8" s="12"/>
        <tr r="I6" s="12"/>
        <tr r="I11" s="13"/>
        <tr r="I10" s="13"/>
        <tr r="I15" s="9"/>
      </tp>
      <tp t="s">
        <v>"services.rtd.invalidInstrumentFormat"</v>
        <stp/>
        <stp>"services.rtd.failedToFindInstrument"</stp>
        <stp>Settle</stp>
        <tr r="H8" s="12"/>
        <tr r="H8" s="13"/>
        <tr r="H10" s="13"/>
        <tr r="H6" s="12"/>
        <tr r="H9" s="12"/>
        <tr r="H11" s="12"/>
        <tr r="H9" s="13"/>
        <tr r="H15" s="9"/>
        <tr r="H11" s="13"/>
        <tr r="H7" s="12"/>
        <tr r="H10" s="12"/>
      </tp>
      <tp t="s">
        <v>96.3750</v>
        <stp/>
        <stp>2264814074172926158</stp>
        <stp>Settle</stp>
        <tr r="H3" s="3"/>
      </tp>
      <tp t="s">
        <v>"services.rtd.subscriptionError"</v>
        <stp/>
        <stp>6883681751251454284</stp>
        <stp>Settle</stp>
        <tr r="H10" s="5"/>
      </tp>
      <tp t="s">
        <v>"services.rtd.subscriptionError"</v>
        <stp/>
        <stp>6777292727603905167</stp>
        <stp>Settle</stp>
        <tr r="H4" s="11"/>
      </tp>
      <tp t="s">
        <v>95.620</v>
        <stp/>
        <stp>2798056836424267605</stp>
        <stp>Settle</stp>
        <tr r="H26" s="3"/>
      </tp>
      <tp t="s">
        <v>95.965</v>
        <stp/>
        <stp>7870360088204015982</stp>
        <stp>Settle</stp>
        <tr r="H21" s="8"/>
      </tp>
      <tp t="s">
        <v>"services.rtd.subscriptionError"</v>
        <stp/>
        <stp>6883681751251454284</stp>
        <stp>Status</stp>
        <tr r="I10" s="5"/>
      </tp>
      <tp t="s">
        <v>"services.rtd.subscriptionError"</v>
        <stp/>
        <stp>6777292727603905167</stp>
        <stp>Status</stp>
        <tr r="I4" s="11"/>
      </tp>
      <tp t="s">
        <v>Open</v>
        <stp/>
        <stp>2798056836424267605</stp>
        <stp>Status</stp>
        <tr r="I26" s="3"/>
      </tp>
      <tp t="s">
        <v>Open</v>
        <stp/>
        <stp>7870360088204015982</stp>
        <stp>Status</stp>
        <tr r="I21" s="8"/>
      </tp>
      <tp t="s">
        <v>Open</v>
        <stp/>
        <stp>2264814074172926158</stp>
        <stp>Status</stp>
        <tr r="I3" s="3"/>
      </tp>
      <tp t="s">
        <v>"services.rtd.subscriptionError"</v>
        <stp/>
        <stp>6532810731306051149</stp>
        <stp>Settle</stp>
        <tr r="H7" s="6"/>
      </tp>
      <tp t="s">
        <v>"services.rtd.subscriptionError"</v>
        <stp/>
        <stp>9275986266275574972</stp>
        <stp>Settle</stp>
        <tr r="H22" s="6"/>
      </tp>
      <tp t="s">
        <v>"services.rtd.subscriptionError"</v>
        <stp/>
        <stp>7750437799258336819</stp>
        <stp>Settle</stp>
        <tr r="H21" s="5"/>
      </tp>
      <tp t="s">
        <v>"services.rtd.subscriptionError"</v>
        <stp/>
        <stp>5444827104880269937</stp>
        <stp>Settle</stp>
        <tr r="H4" s="6"/>
      </tp>
      <tp t="s">
        <v>95.955</v>
        <stp/>
        <stp>4652571663407480418</stp>
        <stp>Settle</stp>
        <tr r="H19" s="8"/>
      </tp>
      <tp t="s">
        <v>"services.rtd.subscriptionError"</v>
        <stp/>
        <stp>1727586975590923283</stp>
        <stp>Settle</stp>
        <tr r="H20" s="6"/>
      </tp>
      <tp t="s">
        <v>"services.rtd.subscriptionError"</v>
        <stp/>
        <stp>6488806392486217148</stp>
        <stp>Settle</stp>
        <tr r="H19" s="6"/>
      </tp>
      <tp t="s">
        <v>Open</v>
        <stp/>
        <stp>4652571663407480418</stp>
        <stp>Status</stp>
        <tr r="I19" s="8"/>
      </tp>
      <tp t="s">
        <v>"services.rtd.subscriptionError"</v>
        <stp/>
        <stp>5444827104880269937</stp>
        <stp>Status</stp>
        <tr r="I4" s="6"/>
      </tp>
      <tp t="s">
        <v>"services.rtd.subscriptionError"</v>
        <stp/>
        <stp>6488806392486217148</stp>
        <stp>Status</stp>
        <tr r="I19" s="6"/>
      </tp>
      <tp t="s">
        <v>"services.rtd.subscriptionError"</v>
        <stp/>
        <stp>1727586975590923283</stp>
        <stp>Status</stp>
        <tr r="I20" s="6"/>
      </tp>
      <tp t="s">
        <v>"services.rtd.subscriptionError"</v>
        <stp/>
        <stp>6532810731306051149</stp>
        <stp>Status</stp>
        <tr r="I7" s="6"/>
      </tp>
      <tp t="s">
        <v>"services.rtd.subscriptionError"</v>
        <stp/>
        <stp>7750437799258336819</stp>
        <stp>Status</stp>
        <tr r="I21" s="5"/>
      </tp>
      <tp t="s">
        <v>"services.rtd.subscriptionError"</v>
        <stp/>
        <stp>9275986266275574972</stp>
        <stp>Status</stp>
        <tr r="I22" s="6"/>
      </tp>
      <tp t="s">
        <v>"services.rtd.subscriptionError"</v>
        <stp/>
        <stp>6314259765637387886</stp>
        <stp>Settle</stp>
        <tr r="H11" s="11"/>
      </tp>
      <tp t="s">
        <v>"services.rtd.subscriptionError"</v>
        <stp/>
        <stp>6159411209048528655</stp>
        <stp>Settle</stp>
        <tr r="H11" s="6"/>
      </tp>
      <tp t="s">
        <v>95.215</v>
        <stp/>
        <stp>1916532763064230074</stp>
        <stp>Settle</stp>
        <tr r="H27" s="5"/>
      </tp>
      <tp t="s">
        <v>95.960</v>
        <stp/>
        <stp>7274681043862095283</stp>
        <stp>Settle</stp>
        <tr r="H16" s="8"/>
      </tp>
      <tp t="s">
        <v>"services.rtd.subscriptionError"</v>
        <stp/>
        <stp>6978109625607659725</stp>
        <stp>Settle</stp>
        <tr r="H7" s="10"/>
      </tp>
      <tp t="s">
        <v>Open</v>
        <stp/>
        <stp>1916532763064230074</stp>
        <stp>Status</stp>
        <tr r="I27" s="5"/>
      </tp>
      <tp t="s">
        <v>Open</v>
        <stp/>
        <stp>7274681043862095283</stp>
        <stp>Status</stp>
        <tr r="I16" s="8"/>
      </tp>
      <tp t="s">
        <v>"services.rtd.subscriptionError"</v>
        <stp/>
        <stp>6978109625607659725</stp>
        <stp>Status</stp>
        <tr r="I7" s="10"/>
      </tp>
      <tp t="s">
        <v>"services.rtd.subscriptionError"</v>
        <stp/>
        <stp>6159411209048528655</stp>
        <stp>Status</stp>
        <tr r="I11" s="6"/>
      </tp>
      <tp t="s">
        <v>"services.rtd.subscriptionError"</v>
        <stp/>
        <stp>6314259765637387886</stp>
        <stp>Status</stp>
        <tr r="I11" s="11"/>
      </tp>
      <tp t="s">
        <v>95.975</v>
        <stp/>
        <stp>4211986922965728750</stp>
        <stp>Settle</stp>
        <tr r="H15" s="3"/>
      </tp>
      <tp t="s">
        <v>"services.rtd.subscriptionError"</v>
        <stp/>
        <stp>7297840225510912048</stp>
        <stp>Settle</stp>
        <tr r="H21" s="6"/>
      </tp>
      <tp t="s">
        <v>"services.rtd.subscriptionError"</v>
        <stp/>
        <stp>3959173724590121969</stp>
        <stp>Settle</stp>
        <tr r="H22" s="10"/>
      </tp>
      <tp t="s">
        <v>96.280</v>
        <stp/>
        <stp>7772853716872034867</stp>
        <stp>Settle</stp>
        <tr r="H8" s="7"/>
      </tp>
      <tp t="s">
        <v>"services.rtd.subscriptionError"</v>
        <stp/>
        <stp>4020974588637570309</stp>
        <stp>Settle</stp>
        <tr r="H17" s="10"/>
      </tp>
      <tp t="s">
        <v>96.085</v>
        <stp/>
        <stp>3761391845186607269</stp>
        <stp>Settle</stp>
        <tr r="H6" s="3"/>
      </tp>
      <tp t="s">
        <v>Open</v>
        <stp/>
        <stp>7772853716872034867</stp>
        <stp>Status</stp>
        <tr r="I8" s="7"/>
      </tp>
      <tp t="s">
        <v>Open</v>
        <stp/>
        <stp>3761391845186607269</stp>
        <stp>Status</stp>
        <tr r="I6" s="3"/>
      </tp>
      <tp t="s">
        <v>"services.rtd.subscriptionError"</v>
        <stp/>
        <stp>4020974588637570309</stp>
        <stp>Status</stp>
        <tr r="I17" s="10"/>
      </tp>
      <tp t="s">
        <v>"services.rtd.subscriptionError"</v>
        <stp/>
        <stp>7297840225510912048</stp>
        <stp>Status</stp>
        <tr r="I21" s="6"/>
      </tp>
      <tp t="s">
        <v>Open</v>
        <stp/>
        <stp>4211986922965728750</stp>
        <stp>Status</stp>
        <tr r="I15" s="3"/>
      </tp>
      <tp t="s">
        <v>"services.rtd.subscriptionError"</v>
        <stp/>
        <stp>3959173724590121969</stp>
        <stp>Status</stp>
        <tr r="I22" s="10"/>
      </tp>
      <tp t="s">
        <v>"services.rtd.subscriptionError"</v>
        <stp/>
        <stp>8609805027889680361</stp>
        <stp>Settle</stp>
        <tr r="H5" s="13"/>
      </tp>
      <tp t="s">
        <v>95.985</v>
        <stp/>
        <stp>2334564383434255324</stp>
        <stp>Settle</stp>
        <tr r="H17" s="7"/>
      </tp>
      <tp t="s">
        <v>96.3325</v>
        <stp/>
        <stp>2518875037886751798</stp>
        <stp>Settle</stp>
        <tr r="H4" s="3"/>
      </tp>
      <tp t="s">
        <v>"services.rtd.subscriptionError"</v>
        <stp/>
        <stp>1617737763414000389</stp>
        <stp>Settle</stp>
        <tr r="H8" s="10"/>
      </tp>
      <tp t="s">
        <v>95.930</v>
        <stp/>
        <stp>6064266935547558467</stp>
        <stp>Settle</stp>
        <tr r="H8" s="3"/>
      </tp>
      <tp t="s">
        <v>"services.rtd.subscriptionError"</v>
        <stp/>
        <stp>1617737763414000389</stp>
        <stp>Status</stp>
        <tr r="I8" s="10"/>
      </tp>
      <tp t="s">
        <v>Open</v>
        <stp/>
        <stp>6064266935547558467</stp>
        <stp>Status</stp>
        <tr r="I8" s="3"/>
      </tp>
      <tp t="s">
        <v>Open</v>
        <stp/>
        <stp>2334564383434255324</stp>
        <stp>Status</stp>
        <tr r="I17" s="7"/>
      </tp>
      <tp t="s">
        <v>"services.rtd.subscriptionError"</v>
        <stp/>
        <stp>8609805027889680361</stp>
        <stp>Status</stp>
        <tr r="I5" s="13"/>
      </tp>
      <tp t="s">
        <v>Open</v>
        <stp/>
        <stp>2518875037886751798</stp>
        <stp>Status</stp>
        <tr r="I4" s="3"/>
      </tp>
      <tp t="s">
        <v>"services.rtd.subscriptionError"</v>
        <stp/>
        <stp>4095991086729837254</stp>
        <stp>Settle</stp>
        <tr r="H6" s="10"/>
      </tp>
      <tp t="s">
        <v>"services.rtd.subscriptionError"</v>
        <stp/>
        <stp>3973483485124835681</stp>
        <stp>Settle</stp>
        <tr r="H9" s="11"/>
      </tp>
      <tp t="s">
        <v>96.020</v>
        <stp/>
        <stp>3822227243959035490</stp>
        <stp>Settle</stp>
        <tr r="H11" s="3"/>
      </tp>
      <tp t="s">
        <v>96.4225</v>
        <stp/>
        <stp>8541084758762950878</stp>
        <stp>Settle</stp>
        <tr r="H3" s="8"/>
      </tp>
      <tp t="s">
        <v>96.380</v>
        <stp/>
        <stp>1173228227003061405</stp>
        <stp>Settle</stp>
        <tr r="H4" s="7"/>
      </tp>
      <tp t="s">
        <v>96.370</v>
        <stp/>
        <stp>3880399603150483481</stp>
        <stp>Settle</stp>
        <tr r="H5" s="8"/>
      </tp>
      <tp t="s">
        <v>97.71250</v>
        <stp/>
        <stp>5228476373492902639</stp>
        <stp>Settle</stp>
        <tr r="H3" s="9"/>
      </tp>
      <tp t="s">
        <v>Open</v>
        <stp/>
        <stp>1173228227003061405</stp>
        <stp>Status</stp>
        <tr r="I4" s="7"/>
      </tp>
      <tp t="s">
        <v>Open</v>
        <stp/>
        <stp>8541084758762950878</stp>
        <stp>Status</stp>
        <tr r="I3" s="8"/>
      </tp>
      <tp t="s">
        <v>Open</v>
        <stp/>
        <stp>3880399603150483481</stp>
        <stp>Status</stp>
        <tr r="I5" s="8"/>
      </tp>
      <tp t="s">
        <v>Open</v>
        <stp/>
        <stp>5228476373492902639</stp>
        <stp>Status</stp>
        <tr r="I3" s="9"/>
      </tp>
      <tp t="s">
        <v>"services.rtd.subscriptionError"</v>
        <stp/>
        <stp>4095991086729837254</stp>
        <stp>Status</stp>
        <tr r="I6" s="10"/>
      </tp>
      <tp t="s">
        <v>"services.rtd.subscriptionError"</v>
        <stp/>
        <stp>3973483485124835681</stp>
        <stp>Status</stp>
        <tr r="I9" s="11"/>
      </tp>
      <tp t="s">
        <v>Open</v>
        <stp/>
        <stp>3822227243959035490</stp>
        <stp>Status</stp>
        <tr r="I11" s="3"/>
      </tp>
      <tp t="s">
        <v>"services.rtd.subscriptionError"</v>
        <stp/>
        <stp>6189133329181631919</stp>
        <stp>Settle</stp>
        <tr r="H14" s="6"/>
      </tp>
      <tp t="s">
        <v>95.860</v>
        <stp/>
        <stp>8236602463566917986</stp>
        <stp>Settle</stp>
        <tr r="H20" s="3"/>
      </tp>
      <tp t="s">
        <v>"services.rtd.subscriptionError"</v>
        <stp/>
        <stp>3161274050251907543</stp>
        <stp>Settle</stp>
        <tr r="H14" s="10"/>
      </tp>
      <tp t="s">
        <v>Open</v>
        <stp/>
        <stp>8236602463566917986</stp>
        <stp>Status</stp>
        <tr r="I20" s="3"/>
      </tp>
      <tp t="s">
        <v>"services.rtd.subscriptionError"</v>
        <stp/>
        <stp>3161274050251907543</stp>
        <stp>Status</stp>
        <tr r="I14" s="10"/>
      </tp>
      <tp t="s">
        <v>"services.rtd.subscriptionError"</v>
        <stp/>
        <stp>6189133329181631919</stp>
        <stp>Status</stp>
        <tr r="I14" s="6"/>
      </tp>
      <tp t="s">
        <v>"services.rtd.subscriptionError"</v>
        <stp/>
        <stp>6628990053936569924</stp>
        <stp>Settle</stp>
        <tr r="H5" s="6"/>
      </tp>
      <tp t="s">
        <v>"services.rtd.subscriptionError"</v>
        <stp/>
        <stp>6628990053936569924</stp>
        <stp>Status</stp>
        <tr r="I5" s="6"/>
      </tp>
    </main>
    <main first="tt.rtd">
      <tp t="s">
        <v>96.9550</v>
        <stp/>
        <stp>1079631362856262921</stp>
        <stp>Settle</stp>
        <tr r="H7" s="9"/>
      </tp>
      <tp t="s">
        <v>"services.rtd.subscriptionError"</v>
        <stp/>
        <stp>2999253133876982849</stp>
        <stp>Settle</stp>
        <tr r="H25" s="6"/>
      </tp>
    </main>
    <main first="tt.rtd">
      <tp t="s">
        <v>"services.rtd.subscriptionError"</v>
        <stp/>
        <stp>1972877616990500330</stp>
        <stp>Settle</stp>
        <tr r="H15" s="6"/>
      </tp>
    </main>
    <main first="tt.rtd">
      <tp t="s">
        <v>95.665</v>
        <stp/>
        <stp>8069871726958016254</stp>
        <stp>Settle</stp>
        <tr r="H25" s="3"/>
      </tp>
      <tp t="s">
        <v>95.995</v>
        <stp/>
        <stp>6196921965222780943</stp>
        <stp>Settle</stp>
        <tr r="H15" s="7"/>
      </tp>
      <tp t="s">
        <v>Open</v>
        <stp/>
        <stp>6196921965222780943</stp>
        <stp>Status</stp>
        <tr r="I15" s="7"/>
      </tp>
    </main>
    <main first="tt.rtd">
      <tp t="s">
        <v>Open</v>
        <stp/>
        <stp>1079631362856262921</stp>
        <stp>Status</stp>
        <tr r="I7" s="9"/>
      </tp>
    </main>
    <main first="tt.rtd">
      <tp t="s">
        <v>"services.rtd.subscriptionError"</v>
        <stp/>
        <stp>2999253133876982849</stp>
        <stp>Status</stp>
        <tr r="I25" s="6"/>
      </tp>
    </main>
    <main first="tt.rtd">
      <tp t="s">
        <v>"services.rtd.subscriptionError"</v>
        <stp/>
        <stp>1972877616990500330</stp>
        <stp>Status</stp>
        <tr r="I15" s="6"/>
      </tp>
      <tp t="s">
        <v>Open</v>
        <stp/>
        <stp>8069871726958016254</stp>
        <stp>Status</stp>
        <tr r="I25" s="3"/>
      </tp>
      <tp t="s">
        <v>95.990</v>
        <stp/>
        <stp>7359239446017790966</stp>
        <stp>Settle</stp>
        <tr r="H14" s="3"/>
      </tp>
      <tp t="s">
        <v>96.295</v>
        <stp/>
        <stp>9309381137161962615</stp>
        <stp>Settle</stp>
        <tr r="H7" s="8"/>
      </tp>
      <tp t="s">
        <v>95.985</v>
        <stp/>
        <stp>1383735921659243123</stp>
        <stp>Settle</stp>
        <tr r="H20" s="8"/>
      </tp>
      <tp t="s">
        <v>96.7050</v>
        <stp/>
        <stp>2953900796497171980</stp>
        <stp>Settle</stp>
        <tr r="H13" s="9"/>
      </tp>
      <tp t="s">
        <v>"services.rtd.subscriptionError"</v>
        <stp/>
        <stp>1747584185598573651</stp>
        <stp>Settle</stp>
        <tr r="H23" s="5"/>
      </tp>
      <tp t="s">
        <v>"services.rtd.subscriptionError"</v>
        <stp/>
        <stp>1747584185598573651</stp>
        <stp>Status</stp>
        <tr r="I23" s="5"/>
      </tp>
      <tp t="s">
        <v>Open</v>
        <stp/>
        <stp>9309381137161962615</stp>
        <stp>Status</stp>
        <tr r="I7" s="8"/>
      </tp>
      <tp t="s">
        <v>Open</v>
        <stp/>
        <stp>7359239446017790966</stp>
        <stp>Status</stp>
        <tr r="I14" s="3"/>
      </tp>
      <tp t="s">
        <v>Open</v>
        <stp/>
        <stp>2953900796497171980</stp>
        <stp>Status</stp>
        <tr r="I13" s="9"/>
      </tp>
      <tp t="s">
        <v>Open</v>
        <stp/>
        <stp>1383735921659243123</stp>
        <stp>Status</stp>
        <tr r="I20" s="8"/>
      </tp>
      <tp t="s">
        <v>21.450</v>
        <stp/>
        <stp>Instr</stp>
        <stp>CFE</stp>
        <stp>VX</stp>
        <stp>FUTURE</stp>
        <stp>Jul26</stp>
        <stp>Last</stp>
        <tr r="F4" s="14"/>
      </tp>
      <tp t="s">
        <v>20.100</v>
        <stp/>
        <stp>Instr</stp>
        <stp>CFE</stp>
        <stp>VX</stp>
        <stp>FUTURE</stp>
        <stp>Jun26</stp>
        <stp>Last</stp>
        <tr r="F3" s="14"/>
      </tp>
      <tp t="s">
        <v>23.000</v>
        <stp/>
        <stp>Instr</stp>
        <stp>CFE</stp>
        <stp>VX</stp>
        <stp>FUTURE</stp>
        <stp>Jan27</stp>
        <stp>Last</stp>
        <tr r="F10" s="14"/>
      </tp>
      <tp t="s">
        <v>"Invalid instrument"</v>
        <stp/>
        <stp>Instr</stp>
        <stp>CFE</stp>
        <stp>VX</stp>
        <stp>FUTURE</stp>
        <stp>Mar27</stp>
        <stp>Last</stp>
        <tr r="F12" s="14"/>
      </tp>
      <tp t="s">
        <v>22.900</v>
        <stp/>
        <stp>Instr</stp>
        <stp>CFE</stp>
        <stp>VX</stp>
        <stp>FUTURE</stp>
        <stp>Nov26</stp>
        <stp>Last</stp>
        <tr r="F8" s="14"/>
      </tp>
      <tp t="s">
        <v>22.900</v>
        <stp/>
        <stp>Instr</stp>
        <stp>CFE</stp>
        <stp>VX</stp>
        <stp>FUTURE</stp>
        <stp>Oct26</stp>
        <stp>Last</stp>
        <tr r="F7" s="14"/>
      </tp>
      <tp t="s">
        <v>22.000</v>
        <stp/>
        <stp>Instr</stp>
        <stp>CFE</stp>
        <stp>VX</stp>
        <stp>FUTURE</stp>
        <stp>Aug26</stp>
        <stp>Last</stp>
        <tr r="F5" s="14"/>
      </tp>
      <tp t="s">
        <v>22.600</v>
        <stp/>
        <stp>Instr</stp>
        <stp>CFE</stp>
        <stp>VX</stp>
        <stp>FUTURE</stp>
        <stp>Dec26</stp>
        <stp>Last</stp>
        <tr r="F9" s="14"/>
      </tp>
      <tp t="s">
        <v>"Invalid instrument"</v>
        <stp/>
        <stp>Instr</stp>
        <stp>CFE</stp>
        <stp>VX</stp>
        <stp>FUTURE</stp>
        <stp>Feb27</stp>
        <stp>Last</stp>
        <tr r="F11" s="14"/>
      </tp>
      <tp t="s">
        <v>22.400</v>
        <stp/>
        <stp>Instr</stp>
        <stp>CFE</stp>
        <stp>VX</stp>
        <stp>FUTURE</stp>
        <stp>Sep26</stp>
        <stp>Last</stp>
        <tr r="F6" s="14"/>
      </tp>
      <tp t="s">
        <v>95.995</v>
        <stp/>
        <stp>3324241383996491464</stp>
        <stp>Settle</stp>
        <tr r="H19" s="7"/>
      </tp>
      <tp t="s">
        <v>"services.rtd.subscriptionError"</v>
        <stp/>
        <stp>9603963912848611289</stp>
        <stp>Settle</stp>
        <tr r="H25" s="5"/>
      </tp>
      <tp t="s">
        <v>95.790</v>
        <stp/>
        <stp>5899392161601857848</stp>
        <stp>Settle</stp>
        <tr r="H22" s="3"/>
      </tp>
      <tp t="s">
        <v>"services.rtd.subscriptionError"</v>
        <stp/>
        <stp>2156362514544478257</stp>
        <stp>Settle</stp>
        <tr r="H21" s="10"/>
      </tp>
      <tp t="s">
        <v>"services.rtd.subscriptionError"</v>
        <stp/>
        <stp>3779534020756663275</stp>
        <stp>Settle</stp>
        <tr r="H18" s="10"/>
      </tp>
      <tp t="s">
        <v>"services.rtd.subscriptionError"</v>
        <stp/>
        <stp>2156362514544478257</stp>
        <stp>Status</stp>
        <tr r="I21" s="10"/>
      </tp>
      <tp t="s">
        <v>"services.rtd.subscriptionError"</v>
        <stp/>
        <stp>3779534020756663275</stp>
        <stp>Status</stp>
        <tr r="I18" s="10"/>
      </tp>
      <tp t="s">
        <v>Open</v>
        <stp/>
        <stp>3324241383996491464</stp>
        <stp>Status</stp>
        <tr r="I19" s="7"/>
      </tp>
      <tp t="s">
        <v>"services.rtd.subscriptionError"</v>
        <stp/>
        <stp>9603963912848611289</stp>
        <stp>Status</stp>
        <tr r="I25" s="5"/>
      </tp>
      <tp t="s">
        <v>Open</v>
        <stp/>
        <stp>5899392161601857848</stp>
        <stp>Status</stp>
        <tr r="I22" s="3"/>
      </tp>
      <tp t="s">
        <v>"services.rtd.subscriptionError"</v>
        <stp/>
        <stp>4569106808994826877</stp>
        <stp>Settle</stp>
        <tr r="H3" s="12"/>
      </tp>
      <tp t="s">
        <v>96.335</v>
        <stp/>
        <stp>8298997090319007208</stp>
        <stp>Settle</stp>
        <tr r="H6" s="7"/>
      </tp>
      <tp t="s">
        <v>"services.rtd.subscriptionError"</v>
        <stp/>
        <stp>4168309689089408432</stp>
        <stp>Settle</stp>
        <tr r="H19" s="10"/>
      </tp>
      <tp t="s">
        <v>"services.rtd.subscriptionError"</v>
        <stp/>
        <stp>4168309689089408432</stp>
        <stp>Status</stp>
        <tr r="I19" s="10"/>
      </tp>
      <tp t="s">
        <v>Open</v>
        <stp/>
        <stp>8298997090319007208</stp>
        <stp>Status</stp>
        <tr r="I6" s="7"/>
      </tp>
      <tp t="s">
        <v>"services.rtd.subscriptionError"</v>
        <stp/>
        <stp>4569106808994826877</stp>
        <stp>Status</stp>
        <tr r="I3" s="12"/>
      </tp>
      <tp t="s">
        <v>96.220</v>
        <stp/>
        <stp>8373859479390367820</stp>
        <stp>Settle</stp>
        <tr r="H9" s="8"/>
      </tp>
      <tp t="s">
        <v>23.05</v>
        <stp/>
        <stp>Instr</stp>
        <stp>Eurex</stp>
        <stp>FVS</stp>
        <stp>FUTURE</stp>
        <stp>Aug26</stp>
        <stp>Settle</stp>
        <tr r="H5" s="15"/>
      </tp>
      <tp t="s">
        <v>96.310</v>
        <stp/>
        <stp>7551864584289735302</stp>
        <stp>Settle</stp>
        <tr r="H7" s="7"/>
      </tp>
      <tp t="s">
        <v>"services.rtd.subscriptionError"</v>
        <stp/>
        <stp>4293326410978229541</stp>
        <stp>Settle</stp>
        <tr r="H15" s="10"/>
      </tp>
      <tp t="s">
        <v>96.7200</v>
        <stp/>
        <stp>1605356167456418889</stp>
        <stp>Settle</stp>
        <tr r="H11" s="9"/>
      </tp>
      <tp t="s">
        <v>97.4500</v>
        <stp/>
        <stp>2731941855341504934</stp>
        <stp>Settle</stp>
        <tr r="H5" s="9"/>
      </tp>
      <tp t="s">
        <v>96.325</v>
        <stp/>
        <stp>1431239809246394376</stp>
        <stp>Settle</stp>
        <tr r="H6" s="8"/>
      </tp>
      <tp t="s">
        <v>"services.rtd.subscriptionError"</v>
        <stp/>
        <stp>Instr</stp>
        <stp>Eurex</stp>
        <stp>FVS</stp>
        <stp>FUTURE</stp>
        <stp>Jun26</stp>
        <stp>Settle</stp>
        <tr r="H3" s="15"/>
      </tp>
      <tp t="s">
        <v>"services.rtd.subscriptionError"</v>
        <stp/>
        <stp>1588166901584120091</stp>
        <stp>Settle</stp>
        <tr r="H3" s="13"/>
      </tp>
      <tp t="s">
        <v>23.20</v>
        <stp/>
        <stp>Instr</stp>
        <stp>Eurex</stp>
        <stp>FVS</stp>
        <stp>FUTURE</stp>
        <stp>Jul26</stp>
        <stp>Settle</stp>
        <tr r="H4" s="15"/>
      </tp>
      <tp t="s">
        <v>"services.rtd.subscriptionError"</v>
        <stp/>
        <stp>2929215027186538641</stp>
        <stp>Settle</stp>
        <tr r="H6" s="5"/>
      </tp>
      <tp t="s">
        <v>Open</v>
        <stp/>
        <stp>2731941855341504934</stp>
        <stp>Status</stp>
        <tr r="I5" s="9"/>
      </tp>
      <tp t="s">
        <v>Open</v>
        <stp/>
        <stp>1431239809246394376</stp>
        <stp>Status</stp>
        <tr r="I6" s="8"/>
      </tp>
      <tp t="s">
        <v>"services.rtd.subscriptionError"</v>
        <stp/>
        <stp>Instr</stp>
        <stp>Eurex</stp>
        <stp>FVS</stp>
        <stp>FUTURE</stp>
        <stp>Jun26</stp>
        <stp>Status</stp>
        <tr r="I3" s="15"/>
      </tp>
      <tp t="s">
        <v>"services.rtd.subscriptionError"</v>
        <stp/>
        <stp>1588166901584120091</stp>
        <stp>Status</stp>
        <tr r="I3" s="13"/>
      </tp>
      <tp t="s">
        <v>Open</v>
        <stp/>
        <stp>Instr</stp>
        <stp>Eurex</stp>
        <stp>FVS</stp>
        <stp>FUTURE</stp>
        <stp>Jul26</stp>
        <stp>Status</stp>
        <tr r="I4" s="15"/>
      </tp>
      <tp t="s">
        <v>"services.rtd.subscriptionError"</v>
        <stp/>
        <stp>2929215027186538641</stp>
        <stp>Status</stp>
        <tr r="I6" s="5"/>
      </tp>
      <tp t="s">
        <v>Open</v>
        <stp/>
        <stp>8373859479390367820</stp>
        <stp>Status</stp>
        <tr r="I9" s="8"/>
      </tp>
      <tp t="s">
        <v>Open</v>
        <stp/>
        <stp>Instr</stp>
        <stp>Eurex</stp>
        <stp>FVS</stp>
        <stp>FUTURE</stp>
        <stp>Aug26</stp>
        <stp>Status</stp>
        <tr r="I5" s="15"/>
      </tp>
      <tp t="s">
        <v>Open</v>
        <stp/>
        <stp>7551864584289735302</stp>
        <stp>Status</stp>
        <tr r="I7" s="7"/>
      </tp>
      <tp t="s">
        <v>Open</v>
        <stp/>
        <stp>1605356167456418889</stp>
        <stp>Status</stp>
        <tr r="I11" s="9"/>
      </tp>
      <tp t="s">
        <v>"services.rtd.subscriptionError"</v>
        <stp/>
        <stp>4293326410978229541</stp>
        <stp>Status</stp>
        <tr r="I15" s="10"/>
      </tp>
      <tp t="s">
        <v>"services.rtd.subscriptionError"</v>
        <stp/>
        <stp>6558853516677562258</stp>
        <stp>Settle</stp>
        <tr r="H17" s="11"/>
      </tp>
      <tp t="s">
        <v>"services.rtd.subscriptionError"</v>
        <stp/>
        <stp>6504067269185906303</stp>
        <stp>Settle</stp>
        <tr r="H15" s="11"/>
      </tp>
      <tp t="s">
        <v>"services.rtd.subscriptionError"</v>
        <stp/>
        <stp>4771138968527992296</stp>
        <stp>Settle</stp>
        <tr r="H11" s="5"/>
      </tp>
      <tp t="s">
        <v>"services.rtd.subscriptionError"</v>
        <stp/>
        <stp>6504067269185906303</stp>
        <stp>Status</stp>
        <tr r="I15" s="11"/>
      </tp>
      <tp t="s">
        <v>"services.rtd.subscriptionError"</v>
        <stp/>
        <stp>4771138968527992296</stp>
        <stp>Status</stp>
        <tr r="I11" s="5"/>
      </tp>
      <tp t="s">
        <v>"services.rtd.subscriptionError"</v>
        <stp/>
        <stp>6558853516677562258</stp>
        <stp>Status</stp>
        <tr r="I17" s="11"/>
      </tp>
      <tp t="s">
        <v>"services.rtd.subscriptionError"</v>
        <stp/>
        <stp>5829843526467061673</stp>
        <stp>Settle</stp>
        <tr r="H16" s="6"/>
      </tp>
      <tp t="s">
        <v>95.710</v>
        <stp/>
        <stp>9218462374027862637</stp>
        <stp>Settle</stp>
        <tr r="H24" s="3"/>
      </tp>
      <tp t="s">
        <v>"services.rtd.subscriptionError"</v>
        <stp/>
        <stp>7543045276132469533</stp>
        <stp>Settle</stp>
        <tr r="H12" s="10"/>
      </tp>
      <tp t="s">
        <v>"services.rtd.subscriptionError"</v>
        <stp/>
        <stp>7543045276132469533</stp>
        <stp>Status</stp>
        <tr r="I12" s="10"/>
      </tp>
      <tp t="s">
        <v>"services.rtd.subscriptionError"</v>
        <stp/>
        <stp>5829843526467061673</stp>
        <stp>Status</stp>
        <tr r="I16" s="6"/>
      </tp>
      <tp t="s">
        <v>Open</v>
        <stp/>
        <stp>9218462374027862637</stp>
        <stp>Status</stp>
        <tr r="I24" s="3"/>
      </tp>
      <tp t="s">
        <v>95.970</v>
        <stp/>
        <stp>8786029629332899618</stp>
        <stp>Settle</stp>
        <tr r="H7" s="3"/>
      </tp>
      <tp t="s">
        <v>"services.rtd.subscriptionError"</v>
        <stp/>
        <stp>1778338967582843813</stp>
        <stp>Settle</stp>
        <tr r="H12" s="5"/>
      </tp>
      <tp t="s">
        <v>95.940</v>
        <stp/>
        <stp>9909662404632894188</stp>
        <stp>Settle</stp>
        <tr r="H17" s="3"/>
      </tp>
      <tp t="s">
        <v>"services.rtd.subscriptionError"</v>
        <stp/>
        <stp>6914531881671971328</stp>
        <stp>Settle</stp>
        <tr r="H6" s="11"/>
      </tp>
      <tp t="s">
        <v>"services.rtd.subscriptionError"</v>
        <stp/>
        <stp>4706635997717094512</stp>
        <stp>Settle</stp>
        <tr r="H19" s="5"/>
      </tp>
      <tp t="s">
        <v>"services.rtd.subscriptionError"</v>
        <stp/>
        <stp>5619891302845554146</stp>
        <stp>Settle</stp>
        <tr r="H7" s="11"/>
      </tp>
      <tp t="s">
        <v>"services.rtd.subscriptionError"</v>
        <stp/>
        <stp>1000973058687712295</stp>
        <stp>Settle</stp>
        <tr r="H3" s="5"/>
      </tp>
      <tp t="s">
        <v>96.040</v>
        <stp/>
        <stp>9891412297684821778</stp>
        <stp>Settle</stp>
        <tr r="H23" s="7"/>
      </tp>
      <tp t="s">
        <v>95.750</v>
        <stp/>
        <stp>1445113220851198574</stp>
        <stp>Settle</stp>
        <tr r="H23" s="3"/>
      </tp>
      <tp t="s">
        <v>96.010</v>
        <stp/>
        <stp>3627732870844351558</stp>
        <stp>Settle</stp>
        <tr r="H20" s="7"/>
      </tp>
      <tp t="s">
        <v>Open</v>
        <stp/>
        <stp>1445113220851198574</stp>
        <stp>Status</stp>
        <tr r="I23" s="3"/>
      </tp>
      <tp t="s">
        <v>Open</v>
        <stp/>
        <stp>9891412297684821778</stp>
        <stp>Status</stp>
        <tr r="I23" s="7"/>
      </tp>
      <tp t="s">
        <v>Open</v>
        <stp/>
        <stp>3627732870844351558</stp>
        <stp>Status</stp>
        <tr r="I20" s="7"/>
      </tp>
      <tp t="s">
        <v>Open</v>
        <stp/>
        <stp>8786029629332899618</stp>
        <stp>Status</stp>
        <tr r="I7" s="3"/>
      </tp>
      <tp t="s">
        <v>"services.rtd.subscriptionError"</v>
        <stp/>
        <stp>1778338967582843813</stp>
        <stp>Status</stp>
        <tr r="I12" s="5"/>
      </tp>
      <tp t="s">
        <v>Open</v>
        <stp/>
        <stp>9909662404632894188</stp>
        <stp>Status</stp>
        <tr r="I17" s="3"/>
      </tp>
      <tp t="s">
        <v>"services.rtd.subscriptionError"</v>
        <stp/>
        <stp>1000973058687712295</stp>
        <stp>Status</stp>
        <tr r="I3" s="5"/>
      </tp>
      <tp t="s">
        <v>"services.rtd.subscriptionError"</v>
        <stp/>
        <stp>4706635997717094512</stp>
        <stp>Status</stp>
        <tr r="I19" s="5"/>
      </tp>
      <tp t="s">
        <v>"services.rtd.subscriptionError"</v>
        <stp/>
        <stp>6914531881671971328</stp>
        <stp>Status</stp>
        <tr r="I6" s="11"/>
      </tp>
      <tp t="s">
        <v>"services.rtd.subscriptionError"</v>
        <stp/>
        <stp>5619891302845554146</stp>
        <stp>Status</stp>
        <tr r="I7" s="11"/>
      </tp>
      <tp t="s">
        <v>"services.rtd.subscriptionError"</v>
        <stp/>
        <stp>978230606953087791</stp>
        <stp>Ask</stp>
        <tr r="D13" s="10"/>
      </tp>
      <tp t="s">
        <v>"services.rtd.failedToFindInstrument"</v>
        <stp/>
        <stp>Inst</stp>
        <stp>ICE_L</stp>
        <stp>EMP FMZ0026!</stp>
        <tr r="B7" s="12"/>
      </tp>
      <tp t="s">
        <v>17269494829094841978</v>
        <stp/>
        <stp>Inst</stp>
        <stp>ICE_L</stp>
        <stp>EMP FMU0026!</stp>
        <tr r="B5" s="12"/>
      </tp>
      <tp t="s">
        <v>"services.rtd.failedToFindInstrument"</v>
        <stp/>
        <stp>Inst</stp>
        <stp>ICE_L</stp>
        <stp>EMP FMV0026!</stp>
        <tr r="B6" s="12"/>
      </tp>
      <tp t="s">
        <v>4569106808994826877</v>
        <stp/>
        <stp>Inst</stp>
        <stp>ICE_L</stp>
        <stp>EMP FMM0026!</stp>
        <tr r="B3" s="12"/>
      </tp>
      <tp t="s">
        <v>"services.rtd.failedToFindInstrument"</v>
        <stp/>
        <stp>Inst</stp>
        <stp>ICE_L</stp>
        <stp>EMP FMM0027!</stp>
        <tr r="B11" s="12"/>
      </tp>
      <tp t="s">
        <v>17097660282758551869</v>
        <stp/>
        <stp>Inst</stp>
        <stp>ICE_L</stp>
        <stp>EMP FMN0026!</stp>
        <tr r="B4" s="12"/>
      </tp>
      <tp t="s">
        <v>"services.rtd.failedToFindInstrument"</v>
        <stp/>
        <stp>Inst</stp>
        <stp>ICE_L</stp>
        <stp>EMP FMH0027!</stp>
        <tr r="B9" s="12"/>
      </tp>
      <tp t="s">
        <v>"services.rtd.failedToFindInstrument"</v>
        <stp/>
        <stp>Inst</stp>
        <stp>ICE_L</stp>
        <stp>EMP FMJ0027!</stp>
        <tr r="B10" s="12"/>
      </tp>
      <tp t="s">
        <v>"services.rtd.failedToFindInstrument"</v>
        <stp/>
        <stp>Inst</stp>
        <stp>ICE_L</stp>
        <stp>EMP FMG0027!</stp>
        <tr r="B8" s="12"/>
      </tp>
      <tp t="s">
        <v>14895182341839773964</v>
        <stp/>
        <stp>Inst</stp>
        <stp>ICE_L</stp>
        <stp>SO3 FMZ0030!</stp>
        <tr r="B22" s="5"/>
      </tp>
      <tp t="s">
        <v>364994179361158614</v>
        <stp/>
        <stp>Inst</stp>
        <stp>ICE_L</stp>
        <stp>SO3 FMZ0031!</stp>
        <tr r="B26" s="5"/>
      </tp>
      <tp t="s">
        <v>9603963912848611289</v>
        <stp/>
        <stp>Inst</stp>
        <stp>ICE_L</stp>
        <stp>SO3 FMU0031!</stp>
        <tr r="B25" s="5"/>
      </tp>
      <tp t="s">
        <v>7750437799258336819</v>
        <stp/>
        <stp>Inst</stp>
        <stp>ICE_L</stp>
        <stp>SO3 FMU0030!</stp>
        <tr r="B21" s="5"/>
      </tp>
      <tp t="s">
        <v>4706635997717094512</v>
        <stp/>
        <stp>Inst</stp>
        <stp>ICE_L</stp>
        <stp>SO3 FMH0030!</stp>
        <tr r="B19" s="5"/>
      </tp>
      <tp t="s">
        <v>1747584185598573651</v>
        <stp/>
        <stp>Inst</stp>
        <stp>ICE_L</stp>
        <stp>SO3 FMH0031!</stp>
        <tr r="B23" s="5"/>
      </tp>
      <tp t="s">
        <v>1916532763064230074</v>
        <stp/>
        <stp>Inst</stp>
        <stp>ICE_L</stp>
        <stp>SO3 FMH0032!</stp>
        <tr r="B27" s="5"/>
      </tp>
      <tp t="s">
        <v>15764738434942585223</v>
        <stp/>
        <stp>Inst</stp>
        <stp>ICE_L</stp>
        <stp>SO3 FMM0031!</stp>
        <tr r="B24" s="5"/>
      </tp>
      <tp t="s">
        <v>984227764123173732</v>
        <stp/>
        <stp>Inst</stp>
        <stp>ICE_L</stp>
        <stp>SO3 FMM0030!</stp>
        <tr r="B20" s="5"/>
      </tp>
      <tp t="s">
        <v>"services.rtd.subscriptionError"</v>
        <stp/>
        <stp>978230606953087791</stp>
        <stp>Bid</stp>
        <tr r="E13" s="10"/>
      </tp>
      <tp t="s">
        <v>15474919503937410045</v>
        <stp/>
        <stp>Inst</stp>
        <stp>ICE_L</stp>
        <stp>SO3 FMU0029!</stp>
        <tr r="B17" s="5"/>
      </tp>
      <tp t="s">
        <v>2929215027186538641</v>
        <stp/>
        <stp>Inst</stp>
        <stp>ICE_L</stp>
        <stp>SO3 FMZ0026!</stp>
        <tr r="B6" s="5"/>
      </tp>
      <tp t="s">
        <v>13553073652848841644</v>
        <stp/>
        <stp>Inst</stp>
        <stp>ICE_L</stp>
        <stp>SO3 FMU0028!</stp>
        <tr r="B13" s="5"/>
      </tp>
      <tp t="s">
        <v>6883681751251454284</v>
        <stp/>
        <stp>Inst</stp>
        <stp>ICE_L</stp>
        <stp>SO3 FMZ0027!</stp>
        <tr r="B10" s="5"/>
      </tp>
      <tp t="s">
        <v>13124315370012665646</v>
        <stp/>
        <stp>Inst</stp>
        <stp>ICE_L</stp>
        <stp>SO3 FMU0027!</stp>
        <tr r="B9" s="5"/>
      </tp>
      <tp t="s">
        <v>12802673068039550141</v>
        <stp/>
        <stp>Inst</stp>
        <stp>ICE_L</stp>
        <stp>SO3 FMZ0028!</stp>
        <tr r="B14" s="5"/>
      </tp>
      <tp t="s">
        <v>14330867541177216896</v>
        <stp/>
        <stp>Inst</stp>
        <stp>ICE_L</stp>
        <stp>SO3 FMU0026!</stp>
        <tr r="B5" s="5"/>
      </tp>
      <tp t="s">
        <v>16444027228601244617</v>
        <stp/>
        <stp>Inst</stp>
        <stp>ICE_L</stp>
        <stp>SO3 FMZ0029!</stp>
        <tr r="B18" s="5"/>
      </tp>
      <tp t="s">
        <v>17489439929274896309</v>
        <stp/>
        <stp>Inst</stp>
        <stp>ICE_L</stp>
        <stp>SO3 FMM0027!</stp>
        <tr r="B8" s="5"/>
      </tp>
      <tp t="s">
        <v>17388498933531365606</v>
        <stp/>
        <stp>Inst</stp>
        <stp>ICE_L</stp>
        <stp>SO3 FMM0026!</stp>
        <tr r="B4" s="5"/>
      </tp>
      <tp t="s">
        <v>1000973058687712295</v>
        <stp/>
        <stp>Inst</stp>
        <stp>ICE_L</stp>
        <stp>SO3 FMH0026!</stp>
        <tr r="B3" s="5"/>
      </tp>
      <tp t="s">
        <v>12777480240935901350</v>
        <stp/>
        <stp>Inst</stp>
        <stp>ICE_L</stp>
        <stp>SO3 FMH0027!</stp>
        <tr r="B7" s="5"/>
      </tp>
      <tp t="s">
        <v>4771138968527992296</v>
        <stp/>
        <stp>Inst</stp>
        <stp>ICE_L</stp>
        <stp>SO3 FMH0028!</stp>
        <tr r="B11" s="5"/>
      </tp>
      <tp t="s">
        <v>14192579889497853292</v>
        <stp/>
        <stp>Inst</stp>
        <stp>ICE_L</stp>
        <stp>SO3 FMH0029!</stp>
        <tr r="B15" s="5"/>
      </tp>
      <tp t="s">
        <v>13656323332417174028</v>
        <stp/>
        <stp>Inst</stp>
        <stp>ICE_L</stp>
        <stp>SO3 FMM0029!</stp>
        <tr r="B16" s="5"/>
      </tp>
      <tp t="s">
        <v>1778338967582843813</v>
        <stp/>
        <stp>Inst</stp>
        <stp>ICE_L</stp>
        <stp>SO3 FMM0028!</stp>
        <tr r="B12" s="5"/>
      </tp>
      <tp t="s">
        <v>"services.rtd.subscriptionError"</v>
        <stp/>
        <stp>978230606953087791</stp>
        <stp>CTQ</stp>
        <tr r="G13" s="10"/>
        <tr r="J13" s="10"/>
      </tp>
      <tp t="s">
        <v>"services.rtd.subscriptionError"</v>
        <stp/>
        <stp>984227764123173732</stp>
        <stp>Bid</stp>
        <tr r="E20" s="5"/>
      </tp>
      <tp t="s">
        <v>"services.rtd.subscriptionError"</v>
        <stp/>
        <stp>196073038322495181</stp>
        <stp>Bid</stp>
        <tr r="E6" s="6"/>
      </tp>
      <tp>
        <v>16</v>
        <stp/>
        <stp>887816061348387785</stp>
        <stp>CTQ</stp>
        <tr r="G13" s="7"/>
        <tr r="J13" s="7"/>
      </tp>
    </main>
    <main first="tt.rtd">
      <tp t="s">
        <v>96.140</v>
        <stp/>
        <stp>690279264195766323</stp>
        <stp>Ask</stp>
        <tr r="D16" s="7"/>
      </tp>
      <tp t="s">
        <v>96.170</v>
        <stp/>
        <stp>410715719020149495</stp>
        <stp>Ask</stp>
        <tr r="D14" s="7"/>
      </tp>
      <tp t="s">
        <v>N/A</v>
        <stp/>
        <stp>696286304630187001</stp>
        <stp>Ask</stp>
        <tr r="D22" s="7"/>
      </tp>
      <tp t="s">
        <v>96.195</v>
        <stp/>
        <stp>887816061348387785</stp>
        <stp>Bid</stp>
        <tr r="E13" s="7"/>
      </tp>
      <tp t="s">
        <v>"services.rtd.subscriptionError"</v>
        <stp/>
        <stp>196073038322495181</stp>
        <stp>CTQ</stp>
        <tr r="J6" s="6"/>
        <tr r="G6" s="6"/>
      </tp>
      <tp t="s">
        <v>"services.rtd.subscriptionError"</v>
        <stp/>
        <stp>984227764123173732</stp>
        <stp>CTQ</stp>
        <tr r="J20" s="5"/>
        <tr r="G20" s="5"/>
      </tp>
    </main>
    <main first="tt.rtd">
      <tp t="s">
        <v>96.200</v>
        <stp/>
        <stp>887816061348387785</stp>
        <stp>Ask</stp>
        <tr r="D13" s="7"/>
      </tp>
      <tp t="s">
        <v>96.015</v>
        <stp/>
        <stp>696286304630187001</stp>
        <stp>Bid</stp>
        <tr r="E22" s="7"/>
      </tp>
      <tp t="s">
        <v>96.130</v>
        <stp/>
        <stp>690279264195766323</stp>
        <stp>Bid</stp>
        <tr r="E16" s="7"/>
      </tp>
      <tp t="s">
        <v>96.165</v>
        <stp/>
        <stp>410715719020149495</stp>
        <stp>Bid</stp>
        <tr r="E14" s="7"/>
      </tp>
      <tp t="s">
        <v>"services.rtd.subscriptionError"</v>
        <stp/>
        <stp>196073038322495181</stp>
        <stp>Ask</stp>
        <tr r="D6" s="6"/>
      </tp>
      <tp t="s">
        <v>"services.rtd.subscriptionError"</v>
        <stp/>
        <stp>984227764123173732</stp>
        <stp>Ask</stp>
        <tr r="D20" s="5"/>
      </tp>
      <tp>
        <v>3</v>
        <stp/>
        <stp>410715719020149495</stp>
        <stp>CTQ</stp>
        <tr r="G14" s="7"/>
        <tr r="J14" s="7"/>
      </tp>
      <tp>
        <v>1</v>
        <stp/>
        <stp>690279264195766323</stp>
        <stp>CTQ</stp>
        <tr r="G16" s="7"/>
        <tr r="J16" s="7"/>
      </tp>
      <tp>
        <v>0</v>
        <stp/>
        <stp>696286304630187001</stp>
        <stp>CTQ</stp>
        <tr r="G22" s="7"/>
        <tr r="J22" s="7"/>
      </tp>
    </main>
    <main first="tt.rtd">
      <tp t="s">
        <v>96.225</v>
        <stp/>
        <stp>880647980586631019</stp>
        <stp>Bid</stp>
        <tr r="E12" s="7"/>
      </tp>
      <tp>
        <v>15</v>
        <stp/>
        <stp>638935919762336382</stp>
        <stp>CTQ</stp>
        <tr r="J10" s="8"/>
        <tr r="G10" s="8"/>
      </tp>
      <tp t="s">
        <v>"services.rtd.subscriptionError"</v>
        <stp/>
        <stp>364994179361158614</stp>
        <stp>CTQ</stp>
        <tr r="J26" s="5"/>
        <tr r="G26" s="5"/>
      </tp>
      <tp t="s">
        <v>6558853516677562258</v>
        <stp/>
        <stp>Inst</stp>
        <stp>ICE_L</stp>
        <stp>SA3 FMU0029!</stp>
        <tr r="B17" s="11"/>
      </tp>
      <tp t="s">
        <v>6914531881671971328</v>
        <stp/>
        <stp>Inst</stp>
        <stp>ICE_L</stp>
        <stp>SA3 FMZ0026!</stp>
        <tr r="B6" s="11"/>
      </tp>
      <tp t="s">
        <v>12203053644589187435</v>
        <stp/>
        <stp>Inst</stp>
        <stp>ICE_L</stp>
        <stp>SA3 FMU0028!</stp>
        <tr r="B13" s="11"/>
      </tp>
      <tp t="s">
        <v>12146542221589140494</v>
        <stp/>
        <stp>Inst</stp>
        <stp>ICE_L</stp>
        <stp>SA3 FMZ0027!</stp>
        <tr r="B10" s="11"/>
      </tp>
      <tp t="s">
        <v>3973483485124835681</v>
        <stp/>
        <stp>Inst</stp>
        <stp>ICE_L</stp>
        <stp>SA3 FMU0027!</stp>
        <tr r="B9" s="11"/>
      </tp>
      <tp t="s">
        <v>14401575330262518877</v>
        <stp/>
        <stp>Inst</stp>
        <stp>ICE_L</stp>
        <stp>SA3 FMZ0028!</stp>
        <tr r="B14" s="11"/>
      </tp>
      <tp t="s">
        <v>10152022727750786343</v>
        <stp/>
        <stp>Inst</stp>
        <stp>ICE_L</stp>
        <stp>SA3 FMU0026!</stp>
        <tr r="B5" s="11"/>
      </tp>
      <tp t="s">
        <v>18071176284543341830</v>
        <stp/>
        <stp>Inst</stp>
        <stp>ICE_L</stp>
        <stp>SA3 FMZ0029!</stp>
        <tr r="B18" s="11"/>
      </tp>
      <tp t="s">
        <v>11935287284762367596</v>
        <stp/>
        <stp>Inst</stp>
        <stp>ICE_L</stp>
        <stp>SA3 FMM0027!</stp>
        <tr r="B8" s="11"/>
      </tp>
      <tp t="s">
        <v>6777292727603905167</v>
        <stp/>
        <stp>Inst</stp>
        <stp>ICE_L</stp>
        <stp>SA3 FMM0026!</stp>
        <tr r="B4" s="11"/>
      </tp>
      <tp t="s">
        <v>14714678855879803828</v>
        <stp/>
        <stp>Inst</stp>
        <stp>ICE_L</stp>
        <stp>SA3 FMH0026!</stp>
        <tr r="B3" s="11"/>
      </tp>
      <tp t="s">
        <v>5619891302845554146</v>
        <stp/>
        <stp>Inst</stp>
        <stp>ICE_L</stp>
        <stp>SA3 FMH0027!</stp>
        <tr r="B7" s="11"/>
      </tp>
      <tp t="s">
        <v>6314259765637387886</v>
        <stp/>
        <stp>Inst</stp>
        <stp>ICE_L</stp>
        <stp>SA3 FMH0028!</stp>
        <tr r="B11" s="11"/>
      </tp>
      <tp t="s">
        <v>6504067269185906303</v>
        <stp/>
        <stp>Inst</stp>
        <stp>ICE_L</stp>
        <stp>SA3 FMH0029!</stp>
        <tr r="B15" s="11"/>
      </tp>
      <tp t="s">
        <v>15117311257991458693</v>
        <stp/>
        <stp>Inst</stp>
        <stp>ICE_L</stp>
        <stp>SA3 FMM0029!</stp>
        <tr r="B16" s="11"/>
      </tp>
      <tp t="s">
        <v>12197960486633385234</v>
        <stp/>
        <stp>Inst</stp>
        <stp>ICE_L</stp>
        <stp>SA3 FMM0028!</stp>
        <tr r="B12" s="11"/>
      </tp>
      <tp t="s">
        <v>"services.rtd.subscriptionError"</v>
        <stp/>
        <stp>364994179361158614</stp>
        <stp>Bid</stp>
        <tr r="E26" s="5"/>
      </tp>
      <tp t="s">
        <v>96.235</v>
        <stp/>
        <stp>638935919762336382</stp>
        <stp>Bid</stp>
        <tr r="E10" s="8"/>
      </tp>
      <tp>
        <v>10</v>
        <stp/>
        <stp>880647980586631019</stp>
        <stp>CTQ</stp>
        <tr r="J12" s="7"/>
        <tr r="G12" s="7"/>
      </tp>
    </main>
    <main first="tt.rtd">
      <tp t="s">
        <v>"services.rtd.subscriptionError"</v>
        <stp/>
        <stp>364994179361158614</stp>
        <stp>Ask</stp>
        <tr r="D26" s="5"/>
      </tp>
      <tp t="s">
        <v>96.240</v>
        <stp/>
        <stp>638935919762336382</stp>
        <stp>Ask</stp>
        <tr r="D10" s="8"/>
      </tp>
    </main>
    <main first="tt.rtd">
      <tp t="s">
        <v>96.230</v>
        <stp/>
        <stp>880647980586631019</stp>
        <stp>Ask</stp>
        <tr r="D12" s="7"/>
      </tp>
    </main>
    <main first="tt.rtd">
      <tp t="s">
        <v>22.00</v>
        <stp/>
        <stp>Instr</stp>
        <stp>Eurex</stp>
        <stp>FVS</stp>
        <stp>FUTURE</stp>
        <stp>Dec26</stp>
        <stp>Last</stp>
        <tr r="F9" s="15"/>
      </tp>
      <tp t="s">
        <v>"Invalid instrument"</v>
        <stp/>
        <stp>Instr</stp>
        <stp>Eurex</stp>
        <stp>FVS</stp>
        <stp>FUTURE</stp>
        <stp>Feb27</stp>
        <stp>Last</stp>
        <tr r="F11" s="15"/>
      </tp>
      <tp t="s">
        <v>23.05</v>
        <stp/>
        <stp>Instr</stp>
        <stp>Eurex</stp>
        <stp>FVS</stp>
        <stp>FUTURE</stp>
        <stp>Aug26</stp>
        <stp>Last</stp>
        <tr r="F5" s="15"/>
      </tp>
      <tp t="s">
        <v>22.60</v>
        <stp/>
        <stp>Instr</stp>
        <stp>Eurex</stp>
        <stp>FVS</stp>
        <stp>FUTURE</stp>
        <stp>Oct26</stp>
        <stp>Last</stp>
        <tr r="F7" s="15"/>
      </tp>
      <tp t="s">
        <v>22.35</v>
        <stp/>
        <stp>Instr</stp>
        <stp>Eurex</stp>
        <stp>FVS</stp>
        <stp>FUTURE</stp>
        <stp>Nov26</stp>
        <stp>Last</stp>
        <tr r="F8" s="15"/>
      </tp>
      <tp t="s">
        <v>"Invalid instrument"</v>
        <stp/>
        <stp>Instr</stp>
        <stp>Eurex</stp>
        <stp>FVS</stp>
        <stp>FUTURE</stp>
        <stp>Jan27</stp>
        <stp>Last</stp>
        <tr r="F10" s="15"/>
      </tp>
      <tp t="s">
        <v>23.20</v>
        <stp/>
        <stp>Instr</stp>
        <stp>Eurex</stp>
        <stp>FVS</stp>
        <stp>FUTURE</stp>
        <stp>Jul26</stp>
        <stp>Last</stp>
        <tr r="F4" s="15"/>
      </tp>
      <tp t="s">
        <v>"services.rtd.subscriptionError"</v>
        <stp/>
        <stp>Instr</stp>
        <stp>Eurex</stp>
        <stp>FVS</stp>
        <stp>FUTURE</stp>
        <stp>Jun26</stp>
        <stp>Last</stp>
        <tr r="F3" s="15"/>
      </tp>
      <tp t="s">
        <v/>
        <stp/>
        <stp>Instr</stp>
        <stp>Eurex</stp>
        <stp>FVS</stp>
        <stp>FUTURE</stp>
        <stp>Sep26</stp>
        <stp>Last</stp>
        <tr r="F6" s="15"/>
      </tp>
    </main>
    <main first="tt.rtd">
      <tp t="s">
        <v>16790086843721301972</v>
        <stp/>
        <stp>Inst</stp>
        <stp>ICE_L</stp>
        <stp>MPC FMN0026!</stp>
        <tr r="B4" s="13"/>
      </tp>
      <tp t="s">
        <v>"services.rtd.failedToFindInstrument"</v>
        <stp/>
        <stp>Inst</stp>
        <stp>ICE_L</stp>
        <stp>MPC FMM0027!</stp>
        <tr r="B11" s="13"/>
      </tp>
      <tp t="s">
        <v>1588166901584120091</v>
        <stp/>
        <stp>Inst</stp>
        <stp>ICE_L</stp>
        <stp>MPC FMM0026!</stp>
        <tr r="B3" s="13"/>
      </tp>
      <tp t="s">
        <v>"services.rtd.failedToFindInstrument"</v>
        <stp/>
        <stp>Inst</stp>
        <stp>ICE_L</stp>
        <stp>MPC FMJ0027!</stp>
        <tr r="B10" s="13"/>
      </tp>
      <tp t="s">
        <v>"services.rtd.failedToFindInstrument"</v>
        <stp/>
        <stp>Inst</stp>
        <stp>ICE_L</stp>
        <stp>MPC FMH0027!</stp>
        <tr r="B9" s="13"/>
      </tp>
      <tp t="s">
        <v>"services.rtd.failedToFindInstrument"</v>
        <stp/>
        <stp>Inst</stp>
        <stp>ICE_L</stp>
        <stp>MPC FMG0027!</stp>
        <tr r="B8" s="13"/>
      </tp>
      <tp t="s">
        <v>12651832782987310492</v>
        <stp/>
        <stp>Inst</stp>
        <stp>ICE_L</stp>
        <stp>MPC FMZ0026!</stp>
        <tr r="B7" s="13"/>
      </tp>
      <tp t="s">
        <v>15222838320367457643</v>
        <stp/>
        <stp>Inst</stp>
        <stp>ICE_L</stp>
        <stp>MPC FMX0026!</stp>
        <tr r="B6" s="13"/>
      </tp>
      <tp t="s">
        <v>8609805027889680361</v>
        <stp/>
        <stp>Inst</stp>
        <stp>ICE_L</stp>
        <stp>MPC FMU0026!</stp>
        <tr r="B5" s="13"/>
      </tp>
      <tp t="s">
        <v>4020974588637570309</v>
        <stp/>
        <stp>Inst</stp>
        <stp>ICE_L</stp>
        <stp>ER3 FMU0029!</stp>
        <tr r="B17" s="10"/>
      </tp>
      <tp t="s">
        <v>4095991086729837254</v>
        <stp/>
        <stp>Inst</stp>
        <stp>ICE_L</stp>
        <stp>ER3 FMZ0026!</stp>
        <tr r="B6" s="10"/>
      </tp>
      <tp t="s">
        <v>978230606953087791</v>
        <stp/>
        <stp>Inst</stp>
        <stp>ICE_L</stp>
        <stp>ER3 FMU0028!</stp>
        <tr r="B13" s="10"/>
      </tp>
      <tp t="s">
        <v>10640221686516715116</v>
        <stp/>
        <stp>Inst</stp>
        <stp>ICE_L</stp>
        <stp>ER3 FMZ0027!</stp>
        <tr r="B10" s="10"/>
      </tp>
      <tp t="s">
        <v>12062554666991936143</v>
        <stp/>
        <stp>Inst</stp>
        <stp>ICE_L</stp>
        <stp>ER3 FMU0027!</stp>
        <tr r="B9" s="10"/>
      </tp>
      <tp t="s">
        <v>3161274050251907543</v>
        <stp/>
        <stp>Inst</stp>
        <stp>ICE_L</stp>
        <stp>ER3 FMZ0028!</stp>
        <tr r="B14" s="10"/>
      </tp>
      <tp t="s">
        <v>13942165873650377178</v>
        <stp/>
        <stp>Inst</stp>
        <stp>ICE_L</stp>
        <stp>ER3 FMU0026!</stp>
        <tr r="B5" s="10"/>
      </tp>
      <tp t="s">
        <v>3779534020756663275</v>
        <stp/>
        <stp>Inst</stp>
        <stp>ICE_L</stp>
        <stp>ER3 FMZ0029!</stp>
        <tr r="B18" s="10"/>
      </tp>
      <tp t="s">
        <v>1617737763414000389</v>
        <stp/>
        <stp>Inst</stp>
        <stp>ICE_L</stp>
        <stp>ER3 FMM0027!</stp>
        <tr r="B8" s="10"/>
      </tp>
      <tp t="s">
        <v>17887834827094596965</v>
        <stp/>
        <stp>Inst</stp>
        <stp>ICE_L</stp>
        <stp>ER3 FMM0026!</stp>
        <tr r="B4" s="10"/>
      </tp>
      <tp t="s">
        <v>16193655064494849323</v>
        <stp/>
        <stp>Inst</stp>
        <stp>ICE_L</stp>
        <stp>ER3 FMH0026!</stp>
        <tr r="B3" s="10"/>
      </tp>
      <tp t="s">
        <v>6978109625607659725</v>
        <stp/>
        <stp>Inst</stp>
        <stp>ICE_L</stp>
        <stp>ER3 FMH0027!</stp>
        <tr r="B7" s="10"/>
      </tp>
      <tp t="s">
        <v>12215144550695335695</v>
        <stp/>
        <stp>Inst</stp>
        <stp>ICE_L</stp>
        <stp>ER3 FMH0028!</stp>
        <tr r="B11" s="10"/>
      </tp>
      <tp t="s">
        <v>4293326410978229541</v>
        <stp/>
        <stp>Inst</stp>
        <stp>ICE_L</stp>
        <stp>ER3 FMH0029!</stp>
        <tr r="B15" s="10"/>
      </tp>
      <tp t="s">
        <v>17711323309675939815</v>
        <stp/>
        <stp>Inst</stp>
        <stp>ICE_L</stp>
        <stp>ER3 FMM0029!</stp>
        <tr r="B16" s="10"/>
      </tp>
      <tp t="s">
        <v>7543045276132469533</v>
        <stp/>
        <stp>Inst</stp>
        <stp>ICE_L</stp>
        <stp>ER3 FMM0028!</stp>
        <tr r="B12" s="10"/>
      </tp>
      <tp t="s">
        <v>3959173724590121969</v>
        <stp/>
        <stp>Inst</stp>
        <stp>ICE_L</stp>
        <stp>ER3 FMZ0030!</stp>
        <tr r="B22" s="10"/>
      </tp>
      <tp t="s">
        <v>2156362514544478257</v>
        <stp/>
        <stp>Inst</stp>
        <stp>ICE_L</stp>
        <stp>ER3 FMU0030!</stp>
        <tr r="B21" s="10"/>
      </tp>
      <tp t="s">
        <v>4168309689089408432</v>
        <stp/>
        <stp>Inst</stp>
        <stp>ICE_L</stp>
        <stp>ER3 FMH0030!</stp>
        <tr r="B19" s="10"/>
      </tp>
      <tp t="s">
        <v>18015794537179585282</v>
        <stp/>
        <stp>Inst</stp>
        <stp>ICE_L</stp>
        <stp>ER3 FMM0030!</stp>
        <tr r="B20" s="10"/>
      </tp>
      <tp t="s">
        <v>Open</v>
        <stp/>
        <stp>11804036294809825783</stp>
        <stp>Status</stp>
        <tr r="I5" s="7"/>
      </tp>
      <tp t="s">
        <v>Open</v>
        <stp/>
        <stp>11434035541700322135</stp>
        <stp>Status</stp>
        <tr r="I8" s="8"/>
      </tp>
      <tp t="s">
        <v>"services.rtd.subscriptionError"</v>
        <stp/>
        <stp>13124315370012665646</stp>
        <stp>Status</stp>
        <tr r="I9" s="5"/>
      </tp>
      <tp t="s">
        <v>Open</v>
        <stp/>
        <stp>16193655064494849323</stp>
        <stp>Status</stp>
        <tr r="I3" s="10"/>
      </tp>
      <tp t="s">
        <v>Open</v>
        <stp/>
        <stp>17580263644204615428</stp>
        <stp>Status</stp>
        <tr r="I4" s="8"/>
      </tp>
      <tp t="s">
        <v>Open</v>
        <stp/>
        <stp>16673841811510079166</stp>
        <stp>Status</stp>
        <tr r="I13" s="3"/>
      </tp>
      <tp t="s">
        <v>"services.rtd.subscriptionError"</v>
        <stp/>
        <stp>17244622560953637946</stp>
        <stp>Status</stp>
        <tr r="I10" s="6"/>
      </tp>
      <tp t="s">
        <v>Open</v>
        <stp/>
        <stp>10173148798524565647</stp>
        <stp>Status</stp>
        <tr r="I11" s="7"/>
      </tp>
      <tp t="s">
        <v>Open</v>
        <stp/>
        <stp>17587746350868461658</stp>
        <stp>Status</stp>
        <tr r="I17" s="8"/>
      </tp>
      <tp t="s">
        <v>96.005</v>
        <stp/>
        <stp>16673841811510079166</stp>
        <stp>Settle</stp>
        <tr r="H13" s="3"/>
      </tp>
      <tp t="s">
        <v>"services.rtd.subscriptionError"</v>
        <stp/>
        <stp>17244622560953637946</stp>
        <stp>Settle</stp>
        <tr r="H10" s="6"/>
      </tp>
      <tp t="s">
        <v>95.955</v>
        <stp/>
        <stp>17587746350868461658</stp>
        <stp>Settle</stp>
        <tr r="H17" s="8"/>
      </tp>
      <tp t="s">
        <v>96.155</v>
        <stp/>
        <stp>10173148798524565647</stp>
        <stp>Settle</stp>
        <tr r="H11" s="7"/>
      </tp>
      <tp t="s">
        <v>96.370</v>
        <stp/>
        <stp>11804036294809825783</stp>
        <stp>Settle</stp>
        <tr r="H5" s="7"/>
      </tp>
      <tp t="s">
        <v>96.265</v>
        <stp/>
        <stp>11434035541700322135</stp>
        <stp>Settle</stp>
        <tr r="H8" s="8"/>
      </tp>
      <tp t="s">
        <v>"services.rtd.subscriptionError"</v>
        <stp/>
        <stp>13124315370012665646</stp>
        <stp>Settle</stp>
        <tr r="H9" s="5"/>
      </tp>
      <tp t="s">
        <v>98.0625</v>
        <stp/>
        <stp>16193655064494849323</stp>
        <stp>Settle</stp>
        <tr r="H3" s="10"/>
      </tp>
      <tp t="s">
        <v>96.405</v>
        <stp/>
        <stp>17580263644204615428</stp>
        <stp>Settle</stp>
        <tr r="H4" s="8"/>
      </tp>
      <tp t="s">
        <v>"services.rtd.subscriptionError"</v>
        <stp/>
        <stp>6532810731306051149</stp>
        <stp>Last</stp>
        <tr r="F7" s="6"/>
      </tp>
      <tp t="s">
        <v/>
        <stp/>
        <stp>1383735921659243123</stp>
        <stp>Last</stp>
        <tr r="F20" s="8"/>
      </tp>
      <tp t="s">
        <v>97.0050</v>
        <stp/>
        <stp>1079631362856262921</stp>
        <stp>Last</stp>
        <tr r="F7" s="9"/>
      </tp>
      <tp t="s">
        <v>95.990</v>
        <stp/>
        <stp>7274681043862095283</stp>
        <stp>Last</stp>
        <tr r="F16" s="8"/>
      </tp>
      <tp t="s">
        <v>"services.rtd.subscriptionError"</v>
        <stp/>
        <stp>8609805027889680361</stp>
        <stp>Last</stp>
        <tr r="F5" s="13"/>
      </tp>
      <tp t="s">
        <v/>
        <stp/>
        <stp>9891412297684821778</stp>
        <stp>Last</stp>
        <tr r="F23" s="7"/>
      </tp>
      <tp t="s">
        <v>"services.rtd.subscriptionError"</v>
        <stp/>
        <stp>1000973058687712295</stp>
        <stp>Last</stp>
        <tr r="F3" s="5"/>
      </tp>
      <tp t="s">
        <v>SO3 FMH0026!</v>
        <stp/>
        <stp>1000973058687712295</stp>
        <stp>Name</stp>
        <tr r="C3" s="5"/>
        <tr r="C3" s="5"/>
      </tp>
      <tp t="s">
        <v>ZQF8</v>
        <stp/>
        <stp>9891412297684821778</stp>
        <stp>Name</stp>
        <tr r="C23" s="7"/>
      </tp>
      <tp t="s">
        <v>SR1M7</v>
        <stp/>
        <stp>7274681043862095283</stp>
        <stp>Name</stp>
        <tr r="C16" s="8"/>
      </tp>
      <tp t="s">
        <v>MPC FMU0026!</v>
        <stp/>
        <stp>8609805027889680361</stp>
        <stp>Name</stp>
        <tr r="C5" s="13"/>
        <tr r="C5" s="13"/>
      </tp>
      <tp t="s">
        <v>CRAH7</v>
        <stp/>
        <stp>1079631362856262921</stp>
        <stp>Name</stp>
        <tr r="C7" s="9"/>
      </tp>
      <tp t="s">
        <v>I   FMH0027!</v>
        <stp/>
        <stp>6532810731306051149</stp>
        <stp>Name</stp>
        <tr r="C7" s="6"/>
        <tr r="C7" s="6"/>
      </tp>
      <tp t="s">
        <v>SR1V7</v>
        <stp/>
        <stp>1383735921659243123</stp>
        <stp>Name</stp>
        <tr r="C20" s="8"/>
      </tp>
      <tp t="s">
        <v>"services.rtd.subscriptionError"</v>
        <stp/>
        <stp>18015794537179585282</stp>
        <stp>Status</stp>
        <tr r="I20" s="10"/>
      </tp>
      <tp t="s">
        <v>Open</v>
        <stp/>
        <stp>15227833694171614065</stp>
        <stp>Status</stp>
        <tr r="I14" s="9"/>
      </tp>
      <tp t="s">
        <v>"services.rtd.subscriptionError"</v>
        <stp/>
        <stp>16444027228601244617</stp>
        <stp>Status</stp>
        <tr r="I18" s="5"/>
      </tp>
      <tp t="s">
        <v>Open</v>
        <stp/>
        <stp>13003456520956211336</stp>
        <stp>Status</stp>
        <tr r="I15" s="8"/>
      </tp>
      <tp t="s">
        <v>880647980586631019</v>
        <stp/>
        <stp>Inst</stp>
        <stp>CME</stp>
        <stp>ZQG7</stp>
        <tr r="B12" s="7"/>
      </tp>
      <tp t="s">
        <v>9891412297684821778</v>
        <stp/>
        <stp>Inst</stp>
        <stp>CME</stp>
        <stp>ZQF8</stp>
        <tr r="B23" s="7"/>
      </tp>
      <tp t="s">
        <v>10173148798524565647</v>
        <stp/>
        <stp>Inst</stp>
        <stp>CME</stp>
        <stp>ZQF7</stp>
        <tr r="B11" s="7"/>
      </tp>
      <tp t="s">
        <v>887816061348387785</v>
        <stp/>
        <stp>Inst</stp>
        <stp>CME</stp>
        <stp>ZQH7</stp>
        <tr r="B13" s="7"/>
      </tp>
      <tp t="s">
        <v>13509294969420576563</v>
        <stp/>
        <stp>Inst</stp>
        <stp>CME</stp>
        <stp>ZQK6</stp>
        <tr r="B3" s="7"/>
      </tp>
      <tp t="s">
        <v>6196921965222780943</v>
        <stp/>
        <stp>Inst</stp>
        <stp>CME</stp>
        <stp>ZQK7</stp>
        <tr r="B15" s="7"/>
      </tp>
      <tp t="s">
        <v>"services.rtd.subscriptionError"</v>
        <stp/>
        <stp>10640221686516715116</stp>
        <stp>Status</stp>
        <tr r="I10" s="10"/>
      </tp>
      <tp t="s">
        <v>Open</v>
        <stp/>
        <stp>10267416492962537231</stp>
        <stp>Status</stp>
        <tr r="I14" s="8"/>
      </tp>
      <tp t="s">
        <v>410715719020149495</v>
        <stp/>
        <stp>Inst</stp>
        <stp>CME</stp>
        <stp>ZQJ7</stp>
        <tr r="B14" s="7"/>
      </tp>
      <tp t="s">
        <v>1173228227003061405</v>
        <stp/>
        <stp>Inst</stp>
        <stp>CME</stp>
        <stp>ZQM6</stp>
        <tr r="B4" s="7"/>
      </tp>
      <tp t="s">
        <v>690279264195766323</v>
        <stp/>
        <stp>Inst</stp>
        <stp>CME</stp>
        <stp>ZQM7</stp>
        <tr r="B16" s="7"/>
      </tp>
      <tp t="s">
        <v>"services.rtd.subscriptionError"</v>
        <stp/>
        <stp>15474919503937410045</stp>
        <stp>Status</stp>
        <tr r="I17" s="5"/>
      </tp>
      <tp t="s">
        <v>Open</v>
        <stp/>
        <stp>14618707670258439481</stp>
        <stp>Status</stp>
        <tr r="I10" s="7"/>
      </tp>
      <tp t="s">
        <v>11804036294809825783</v>
        <stp/>
        <stp>Inst</stp>
        <stp>CME</stp>
        <stp>ZQN6</stp>
        <tr r="B5" s="7"/>
      </tp>
      <tp t="s">
        <v>2334564383434255324</v>
        <stp/>
        <stp>Inst</stp>
        <stp>CME</stp>
        <stp>ZQN7</stp>
        <tr r="B17" s="7"/>
      </tp>
      <tp t="s">
        <v>8298997090319007208</v>
        <stp/>
        <stp>Inst</stp>
        <stp>CME</stp>
        <stp>ZQQ6</stp>
        <tr r="B6" s="7"/>
      </tp>
      <tp t="s">
        <v>11729320422875922731</v>
        <stp/>
        <stp>Inst</stp>
        <stp>CME</stp>
        <stp>ZQQ7</stp>
        <tr r="B18" s="7"/>
      </tp>
      <tp t="s">
        <v>96.015</v>
        <stp/>
        <stp>10267416492962537231</stp>
        <stp>Settle</stp>
        <tr r="H14" s="8"/>
      </tp>
      <tp t="s">
        <v>"services.rtd.subscriptionError"</v>
        <stp/>
        <stp>10640221686516715116</stp>
        <stp>Settle</stp>
        <tr r="H10" s="10"/>
      </tp>
      <tp t="s">
        <v>"services.rtd.subscriptionError"</v>
        <stp/>
        <stp>15474919503937410045</stp>
        <stp>Settle</stp>
        <tr r="H17" s="5"/>
      </tp>
      <tp t="s">
        <v>7551864584289735302</v>
        <stp/>
        <stp>Inst</stp>
        <stp>CME</stp>
        <stp>ZQU6</stp>
        <tr r="B7" s="7"/>
      </tp>
      <tp t="s">
        <v>3324241383996491464</v>
        <stp/>
        <stp>Inst</stp>
        <stp>CME</stp>
        <stp>ZQU7</stp>
        <tr r="B19" s="7"/>
      </tp>
      <tp t="s">
        <v>96.180</v>
        <stp/>
        <stp>14618707670258439481</stp>
        <stp>Settle</stp>
        <tr r="H10" s="7"/>
      </tp>
      <tp t="s">
        <v>7772853716872034867</v>
        <stp/>
        <stp>Inst</stp>
        <stp>CME</stp>
        <stp>ZQV6</stp>
        <tr r="B8" s="7"/>
      </tp>
      <tp t="s">
        <v>3627732870844351558</v>
        <stp/>
        <stp>Inst</stp>
        <stp>CME</stp>
        <stp>ZQV7</stp>
        <tr r="B20" s="7"/>
      </tp>
      <tp t="s">
        <v>"services.rtd.subscriptionError"</v>
        <stp/>
        <stp>18015794537179585282</stp>
        <stp>Settle</stp>
        <tr r="H20" s="10"/>
      </tp>
      <tp t="s">
        <v>13208077381270415860</v>
        <stp/>
        <stp>Inst</stp>
        <stp>CME</stp>
        <stp>ZQX6</stp>
        <tr r="B9" s="7"/>
      </tp>
      <tp t="s">
        <v>10620117733411968864</v>
        <stp/>
        <stp>Inst</stp>
        <stp>CME</stp>
        <stp>ZQX7</stp>
        <tr r="B21" s="7"/>
      </tp>
      <tp t="s">
        <v>96.7050</v>
        <stp/>
        <stp>15227833694171614065</stp>
        <stp>Settle</stp>
        <tr r="H14" s="9"/>
      </tp>
      <tp t="s">
        <v>14618707670258439481</v>
        <stp/>
        <stp>Inst</stp>
        <stp>CME</stp>
        <stp>ZQZ6</stp>
        <tr r="B10" s="7"/>
      </tp>
      <tp t="s">
        <v>696286304630187001</v>
        <stp/>
        <stp>Inst</stp>
        <stp>CME</stp>
        <stp>ZQZ7</stp>
        <tr r="B22" s="7"/>
      </tp>
      <tp t="s">
        <v>"services.rtd.subscriptionError"</v>
        <stp/>
        <stp>16444027228601244617</stp>
        <stp>Settle</stp>
        <tr r="H18" s="5"/>
      </tp>
      <tp t="s">
        <v>95.975</v>
        <stp/>
        <stp>13003456520956211336</stp>
        <stp>Settle</stp>
        <tr r="H15" s="8"/>
      </tp>
    </main>
    <main first="tt.rtd">
      <tp t="s">
        <v>96.145</v>
        <stp/>
        <stp>3822227243959035490</stp>
        <stp>Last</stp>
        <tr r="F11" s="3"/>
      </tp>
      <tp t="s">
        <v>"services.rtd.subscriptionError"</v>
        <stp/>
        <stp>6914531881671971328</stp>
        <stp>Last</stp>
        <tr r="F6" s="11"/>
      </tp>
      <tp t="s">
        <v>"services.rtd.subscriptionError"</v>
        <stp/>
        <stp>7543045276132469533</stp>
        <stp>Last</stp>
        <tr r="F12" s="10"/>
      </tp>
      <tp t="s">
        <v>97.4700</v>
        <stp/>
        <stp>2731941855341504934</stp>
        <stp>Last</stp>
        <tr r="F5" s="9"/>
      </tp>
      <tp t="s">
        <v>96.075</v>
        <stp/>
        <stp>6064266935547558467</stp>
        <stp>Last</stp>
        <tr r="F8" s="3"/>
      </tp>
      <tp t="s">
        <v>"services.rtd.subscriptionError"</v>
        <stp/>
        <stp>6488806392486217148</stp>
        <stp>Last</stp>
        <tr r="F19" s="6"/>
      </tp>
      <tp t="s">
        <v>95.955</v>
        <stp/>
        <stp>8236602463566917986</stp>
        <stp>Last</stp>
        <tr r="F20" s="3"/>
      </tp>
      <tp t="s">
        <v>96.355</v>
        <stp/>
        <stp>7551864584289735302</stp>
        <stp>Last</stp>
        <tr r="F7" s="7"/>
      </tp>
      <tp t="s">
        <v>I   FMH0030!</v>
        <stp/>
        <stp>6488806392486217148</stp>
        <stp>Name</stp>
        <tr r="C19" s="6"/>
        <tr r="C19" s="6"/>
      </tp>
      <tp t="s">
        <v>SR3M0</v>
        <stp/>
        <stp>8236602463566917986</stp>
        <stp>Name</stp>
        <tr r="C20" s="3"/>
      </tp>
      <tp t="s">
        <v>ZQU6</v>
        <stp/>
        <stp>7551864584289735302</stp>
        <stp>Name</stp>
        <tr r="C7" s="7"/>
      </tp>
      <tp t="s">
        <v>SR3M7</v>
        <stp/>
        <stp>6064266935547558467</stp>
        <stp>Name</stp>
        <tr r="C8" s="3"/>
      </tp>
      <tp t="s">
        <v>ER3 FMM0028!</v>
        <stp/>
        <stp>7543045276132469533</stp>
        <stp>Name</stp>
        <tr r="C12" s="10"/>
        <tr r="C12" s="10"/>
      </tp>
      <tp t="s">
        <v>CRAU6</v>
        <stp/>
        <stp>2731941855341504934</stp>
        <stp>Name</stp>
        <tr r="C5" s="9"/>
      </tp>
      <tp t="s">
        <v>SA3 FMZ0026!</v>
        <stp/>
        <stp>6914531881671971328</stp>
        <stp>Name</stp>
        <tr r="C6" s="11"/>
        <tr r="C6" s="11"/>
      </tp>
      <tp t="s">
        <v>SR3H8</v>
        <stp/>
        <stp>3822227243959035490</stp>
        <stp>Name</stp>
        <tr r="C11" s="3"/>
      </tp>
      <tp t="s">
        <v>"services.rtd.subscriptionError"</v>
        <stp/>
        <stp>17489439929274896309</stp>
        <stp>Status</stp>
        <tr r="I8" s="5"/>
      </tp>
      <tp t="s">
        <v>Open</v>
        <stp/>
        <stp>15982701712321206525</stp>
        <stp>Status</stp>
        <tr r="I18" s="8"/>
      </tp>
      <tp t="s">
        <v>Open</v>
        <stp/>
        <stp>12350987571259131621</stp>
        <stp>Status</stp>
        <tr r="I18" s="3"/>
      </tp>
      <tp t="s">
        <v>Open</v>
        <stp/>
        <stp>10056698436755136015</stp>
        <stp>Status</stp>
        <tr r="I5" s="3"/>
      </tp>
      <tp t="s">
        <v>"services.rtd.subscriptionError"</v>
        <stp/>
        <stp>15764738434942585223</stp>
        <stp>Status</stp>
        <tr r="I24" s="5"/>
      </tp>
      <tp t="s">
        <v>"services.rtd.subscriptionError"</v>
        <stp/>
        <stp>18370117369950377328</stp>
        <stp>Status</stp>
        <tr r="I18" s="6"/>
      </tp>
      <tp t="s">
        <v>"services.rtd.subscriptionError"</v>
        <stp/>
        <stp>12802673068039550141</stp>
        <stp>Status</stp>
        <tr r="I14" s="5"/>
      </tp>
      <tp t="s">
        <v>Open</v>
        <stp/>
        <stp>11818438006115878869</stp>
        <stp>Status</stp>
        <tr r="I12" s="8"/>
      </tp>
      <tp t="s">
        <v>"services.rtd.subscriptionError"</v>
        <stp/>
        <stp>17097660282758551869</stp>
        <stp>Status</stp>
        <tr r="I4" s="12"/>
      </tp>
      <tp t="s">
        <v>"services.rtd.subscriptionError"</v>
        <stp/>
        <stp>18370117369950377328</stp>
        <stp>Settle</stp>
        <tr r="H18" s="6"/>
      </tp>
      <tp t="s">
        <v>"services.rtd.subscriptionError"</v>
        <stp/>
        <stp>12802673068039550141</stp>
        <stp>Settle</stp>
        <tr r="H14" s="5"/>
      </tp>
      <tp t="s">
        <v>"services.rtd.subscriptionError"</v>
        <stp/>
        <stp>17097660282758551869</stp>
        <stp>Settle</stp>
        <tr r="H4" s="12"/>
      </tp>
      <tp t="s">
        <v>96.085</v>
        <stp/>
        <stp>11818438006115878869</stp>
        <stp>Settle</stp>
        <tr r="H12" s="8"/>
      </tp>
      <tp t="s">
        <v>95.940</v>
        <stp/>
        <stp>15982701712321206525</stp>
        <stp>Settle</stp>
        <tr r="H18" s="8"/>
      </tp>
      <tp t="s">
        <v>"services.rtd.subscriptionError"</v>
        <stp/>
        <stp>17489439929274896309</stp>
        <stp>Settle</stp>
        <tr r="H8" s="5"/>
      </tp>
      <tp t="s">
        <v>95.915</v>
        <stp/>
        <stp>12350987571259131621</stp>
        <stp>Settle</stp>
        <tr r="H18" s="3"/>
      </tp>
      <tp t="s">
        <v>"services.rtd.subscriptionError"</v>
        <stp/>
        <stp>15764738434942585223</stp>
        <stp>Settle</stp>
        <tr r="H24" s="5"/>
      </tp>
      <tp t="s">
        <v>96.220</v>
        <stp/>
        <stp>10056698436755136015</stp>
        <stp>Settle</stp>
        <tr r="H5" s="3"/>
      </tp>
      <tp t="s">
        <v>"services.rtd.subscriptionError"</v>
        <stp/>
        <stp>5444827104880269937</stp>
        <stp>Last</stp>
        <tr r="F4" s="6"/>
      </tp>
      <tp t="s">
        <v/>
        <stp/>
        <stp>3627732870844351558</stp>
        <stp>Last</stp>
        <tr r="F20" s="7"/>
      </tp>
      <tp t="s">
        <v>"services.rtd.subscriptionError"</v>
        <stp/>
        <stp>6504067269185906303</stp>
        <stp>Last</stp>
        <tr r="F15" s="11"/>
      </tp>
      <tp t="s">
        <v>95.840</v>
        <stp/>
        <stp>1445113220851198574</stp>
        <stp>Last</stp>
        <tr r="F23" s="3"/>
      </tp>
      <tp t="s">
        <v>SR3H1</v>
        <stp/>
        <stp>1445113220851198574</stp>
        <stp>Name</stp>
        <tr r="C23" s="3"/>
      </tp>
      <tp t="s">
        <v>ZQV7</v>
        <stp/>
        <stp>3627732870844351558</stp>
        <stp>Name</stp>
        <tr r="C20" s="7"/>
      </tp>
      <tp t="s">
        <v>SA3 FMH0029!</v>
        <stp/>
        <stp>6504067269185906303</stp>
        <stp>Name</stp>
        <tr r="C15" s="11"/>
        <tr r="C15" s="11"/>
      </tp>
      <tp t="s">
        <v>I   FMM0026!</v>
        <stp/>
        <stp>5444827104880269937</stp>
        <stp>Name</stp>
        <tr r="C4" s="6"/>
        <tr r="C4" s="6"/>
      </tp>
      <tp t="s">
        <v>"services.rtd.subscriptionError"</v>
        <stp/>
        <stp>13656323332417174028</stp>
        <stp>Status</stp>
        <tr r="I16" s="5"/>
      </tp>
      <tp t="s">
        <v>Open</v>
        <stp/>
        <stp>12267711630185759080</stp>
        <stp>Status</stp>
        <tr r="I11" s="8"/>
      </tp>
      <tp t="s">
        <v>"services.rtd.subscriptionError"</v>
        <stp/>
        <stp>17887834827094596965</stp>
        <stp>Status</stp>
        <tr r="I4" s="10"/>
      </tp>
      <tp t="s">
        <v>Open</v>
        <stp/>
        <stp>11607487364946020404</stp>
        <stp>Status</stp>
        <tr r="I4" s="9"/>
      </tp>
      <tp t="s">
        <v>Open</v>
        <stp/>
        <stp>11432813735419224277</stp>
        <stp>Status</stp>
        <tr r="I16" s="3"/>
      </tp>
      <tp t="s">
        <v>"services.rtd.subscriptionError"</v>
        <stp/>
        <stp>15222838320367457643</stp>
        <stp>Status</stp>
        <tr r="I6" s="13"/>
      </tp>
      <tp t="s">
        <v>Open</v>
        <stp/>
        <stp>16116292756507691888</stp>
        <stp>Status</stp>
        <tr r="I6" s="9"/>
      </tp>
      <tp t="s">
        <v>"services.rtd.subscriptionError"</v>
        <stp/>
        <stp>14192579889497853292</stp>
        <stp>Status</stp>
        <tr r="I15" s="5"/>
      </tp>
      <tp t="s">
        <v>"services.rtd.subscriptionError"</v>
        <stp/>
        <stp>13553073652848841644</stp>
        <stp>Status</stp>
        <tr r="I13" s="5"/>
      </tp>
      <tp t="s">
        <v>Open</v>
        <stp/>
        <stp>15050487581241061067</stp>
        <stp>Status</stp>
        <tr r="I9" s="9"/>
      </tp>
      <tp t="s">
        <v>97.1850</v>
        <stp/>
        <stp>16116292756507691888</stp>
        <stp>Settle</stp>
        <tr r="H6" s="9"/>
      </tp>
      <tp t="s">
        <v>"services.rtd.subscriptionError"</v>
        <stp/>
        <stp>15222838320367457643</stp>
        <stp>Settle</stp>
        <tr r="H6" s="13"/>
      </tp>
      <tp t="s">
        <v>"services.rtd.subscriptionError"</v>
        <stp/>
        <stp>14192579889497853292</stp>
        <stp>Settle</stp>
        <tr r="H15" s="5"/>
      </tp>
      <tp t="s">
        <v>96.7700</v>
        <stp/>
        <stp>15050487581241061067</stp>
        <stp>Settle</stp>
        <tr r="H9" s="9"/>
      </tp>
      <tp t="s">
        <v>"services.rtd.subscriptionError"</v>
        <stp/>
        <stp>13553073652848841644</stp>
        <stp>Settle</stp>
        <tr r="H13" s="5"/>
      </tp>
      <tp t="s">
        <v>"services.rtd.subscriptionError"</v>
        <stp/>
        <stp>13656323332417174028</stp>
        <stp>Settle</stp>
        <tr r="H16" s="5"/>
      </tp>
      <tp t="s">
        <v>96.120</v>
        <stp/>
        <stp>12267711630185759080</stp>
        <stp>Settle</stp>
        <tr r="H11" s="8"/>
      </tp>
      <tp t="s">
        <v>97.6700</v>
        <stp/>
        <stp>11607487364946020404</stp>
        <stp>Settle</stp>
        <tr r="H4" s="9"/>
      </tp>
      <tp t="s">
        <v>95.960</v>
        <stp/>
        <stp>11432813735419224277</stp>
        <stp>Settle</stp>
        <tr r="H16" s="3"/>
      </tp>
      <tp t="s">
        <v>"services.rtd.subscriptionError"</v>
        <stp/>
        <stp>17887834827094596965</stp>
        <stp>Settle</stp>
        <tr r="H4" s="10"/>
      </tp>
    </main>
    <main first="tt.rtd">
      <tp t="s">
        <v>"services.rtd.subscriptionError"</v>
        <stp/>
        <stp>4569106808994826877</stp>
        <stp>Last</stp>
        <tr r="F3" s="12"/>
      </tp>
      <tp t="s">
        <v>"services.rtd.subscriptionError"</v>
        <stp/>
        <stp>4706635997717094512</stp>
        <stp>Last</stp>
        <tr r="F19" s="5"/>
      </tp>
      <tp t="s">
        <v>96.340</v>
        <stp/>
        <stp>7772853716872034867</stp>
        <stp>Last</stp>
        <tr r="F8" s="7"/>
      </tp>
      <tp t="s">
        <v>"services.rtd.subscriptionError"</v>
        <stp/>
        <stp>4095991086729837254</stp>
        <stp>Last</stp>
        <tr r="F6" s="10"/>
      </tp>
      <tp t="s">
        <v>"services.rtd.subscriptionError"</v>
        <stp/>
        <stp>2999253133876982849</stp>
        <stp>Last</stp>
        <tr r="F25" s="6"/>
      </tp>
      <tp t="s">
        <v>"services.rtd.subscriptionError"</v>
        <stp/>
        <stp>2156362514544478257</stp>
        <stp>Last</stp>
        <tr r="F21" s="10"/>
      </tp>
      <tp t="s">
        <v>I   FMU0031!</v>
        <stp/>
        <stp>2999253133876982849</stp>
        <stp>Name</stp>
        <tr r="C25" s="6"/>
        <tr r="C25" s="6"/>
      </tp>
      <tp t="s">
        <v>ER3 FMU0030!</v>
        <stp/>
        <stp>2156362514544478257</stp>
        <stp>Name</stp>
        <tr r="C21" s="10"/>
        <tr r="C21" s="10"/>
      </tp>
      <tp t="s">
        <v>SO3 FMH0030!</v>
        <stp/>
        <stp>4706635997717094512</stp>
        <stp>Name</stp>
        <tr r="C19" s="5"/>
        <tr r="C19" s="5"/>
      </tp>
      <tp t="s">
        <v>ZQV6</v>
        <stp/>
        <stp>7772853716872034867</stp>
        <stp>Name</stp>
        <tr r="C8" s="7"/>
      </tp>
      <tp t="s">
        <v>ER3 FMZ0026!</v>
        <stp/>
        <stp>4095991086729837254</stp>
        <stp>Name</stp>
        <tr r="C6" s="10"/>
        <tr r="C6" s="10"/>
      </tp>
      <tp t="s">
        <v>EMP FMM0026!</v>
        <stp/>
        <stp>4569106808994826877</stp>
        <stp>Name</stp>
        <tr r="C3" s="12"/>
        <tr r="C3" s="12"/>
      </tp>
      <tp t="s">
        <v>"services.rtd.subscriptionError"</v>
        <stp/>
        <stp>17388498933531365606</stp>
        <stp>Status</stp>
        <tr r="I4" s="5"/>
      </tp>
      <tp t="s">
        <v>Open</v>
        <stp/>
        <stp>11954488268734512343</stp>
        <stp>Status</stp>
        <tr r="I27" s="3"/>
      </tp>
      <tp t="s">
        <v>"services.rtd.subscriptionError"</v>
        <stp/>
        <stp>11911434118028235803</stp>
        <stp>Status</stp>
        <tr r="I26" s="6"/>
      </tp>
      <tp t="s">
        <v>"services.rtd.subscriptionError"</v>
        <stp/>
        <stp>12777480240935901350</stp>
        <stp>Status</stp>
        <tr r="I7" s="5"/>
      </tp>
      <tp t="s">
        <v>"services.rtd.subscriptionError"</v>
        <stp/>
        <stp>17388498933531365606</stp>
        <stp>Settle</stp>
        <tr r="H4" s="5"/>
      </tp>
      <tp t="s">
        <v>95.580</v>
        <stp/>
        <stp>11954488268734512343</stp>
        <stp>Settle</stp>
        <tr r="H27" s="3"/>
      </tp>
      <tp t="s">
        <v>"services.rtd.subscriptionError"</v>
        <stp/>
        <stp>12777480240935901350</stp>
        <stp>Settle</stp>
        <tr r="H7" s="5"/>
      </tp>
      <tp t="s">
        <v>"services.rtd.subscriptionError"</v>
        <stp/>
        <stp>11911434118028235803</stp>
        <stp>Settle</stp>
        <tr r="H26" s="6"/>
      </tp>
      <tp t="s">
        <v>1605356167456418889</v>
        <stp/>
        <stp>Inst</stp>
        <stp>MX</stp>
        <stp>CRAH8</stp>
        <tr r="B11" s="9"/>
      </tp>
      <tp t="s">
        <v>"services.rtd.failedToFindInstrument"</v>
        <stp/>
        <stp>Inst</stp>
        <stp>MX</stp>
        <stp>CRAH9</stp>
        <tr r="B15" s="9"/>
      </tp>
      <tp t="s">
        <v>5228476373492902639</v>
        <stp/>
        <stp>Inst</stp>
        <stp>MX</stp>
        <stp>CRAH6</stp>
        <tr r="B3" s="9"/>
      </tp>
      <tp t="s">
        <v>1079631362856262921</v>
        <stp/>
        <stp>Inst</stp>
        <stp>MX</stp>
        <stp>CRAH7</stp>
        <tr r="B7" s="9"/>
      </tp>
      <tp t="s">
        <v>10341135123007474384</v>
        <stp/>
        <stp>Inst</stp>
        <stp>MX</stp>
        <stp>CRAM8</stp>
        <tr r="B12" s="9"/>
      </tp>
      <tp t="s">
        <v>11607487364946020404</v>
        <stp/>
        <stp>Inst</stp>
        <stp>MX</stp>
        <stp>CRAM6</stp>
        <tr r="B4" s="9"/>
      </tp>
      <tp t="s">
        <v>8219882023429969</v>
        <stp/>
        <stp>Inst</stp>
        <stp>MX</stp>
        <stp>CRAM7</stp>
        <tr r="B8" s="9"/>
      </tp>
      <tp t="s">
        <v>2953900796497171980</v>
        <stp/>
        <stp>Inst</stp>
        <stp>MX</stp>
        <stp>CRAU8</stp>
        <tr r="B13" s="9"/>
      </tp>
      <tp t="s">
        <v>2731941855341504934</v>
        <stp/>
        <stp>Inst</stp>
        <stp>MX</stp>
        <stp>CRAU6</stp>
        <tr r="B5" s="9"/>
      </tp>
      <tp t="s">
        <v>15050487581241061067</v>
        <stp/>
        <stp>Inst</stp>
        <stp>MX</stp>
        <stp>CRAU7</stp>
        <tr r="B9" s="9"/>
      </tp>
      <tp t="s">
        <v>15227833694171614065</v>
        <stp/>
        <stp>Inst</stp>
        <stp>MX</stp>
        <stp>CRAZ8</stp>
        <tr r="B14" s="9"/>
      </tp>
      <tp t="s">
        <v>16116292756507691888</v>
        <stp/>
        <stp>Inst</stp>
        <stp>MX</stp>
        <stp>CRAZ6</stp>
        <tr r="B6" s="9"/>
      </tp>
      <tp t="s">
        <v>14449049893797955023</v>
        <stp/>
        <stp>Inst</stp>
        <stp>MX</stp>
        <stp>CRAZ7</stp>
        <tr r="B10" s="9"/>
      </tp>
      <tp t="s">
        <v>"services.rtd.subscriptionError"</v>
        <stp/>
        <stp>3779534020756663275</stp>
        <stp>Last</stp>
        <tr r="F18" s="10"/>
      </tp>
      <tp t="s">
        <v>96.135</v>
        <stp/>
        <stp>6196921965222780943</stp>
        <stp>Last</stp>
        <tr r="F15" s="7"/>
      </tp>
      <tp t="s">
        <v>96.105</v>
        <stp/>
        <stp>8786029629332899618</stp>
        <stp>Last</stp>
        <tr r="F7" s="3"/>
      </tp>
      <tp t="s">
        <v>SR3H7</v>
        <stp/>
        <stp>8786029629332899618</stp>
        <stp>Name</stp>
        <tr r="C7" s="3"/>
      </tp>
      <tp t="s">
        <v>ZQK7</v>
        <stp/>
        <stp>6196921965222780943</stp>
        <stp>Name</stp>
        <tr r="C15" s="7"/>
      </tp>
      <tp t="s">
        <v>ER3 FMZ0029!</v>
        <stp/>
        <stp>3779534020756663275</stp>
        <stp>Name</stp>
        <tr r="C18" s="10"/>
        <tr r="C18" s="10"/>
      </tp>
      <tp t="s">
        <v>"services.rtd.subscriptionError"</v>
        <stp/>
        <stp>17983703097809095440</stp>
        <stp>Status</stp>
        <tr r="I17" s="6"/>
      </tp>
      <tp t="s">
        <v>Open</v>
        <stp/>
        <stp>10582686653072545408</stp>
        <stp>Status</stp>
        <tr r="I9" s="3"/>
      </tp>
      <tp t="s">
        <v>"services.rtd.subscriptionError"</v>
        <stp/>
        <stp>14895182341839773964</stp>
        <stp>Status</stp>
        <tr r="I22" s="5"/>
      </tp>
      <tp t="s">
        <v>"services.rtd.subscriptionError"</v>
        <stp/>
        <stp>10152022727750786343</stp>
        <stp>Status</stp>
        <tr r="I5" s="11"/>
      </tp>
      <tp t="s">
        <v>"services.rtd.subscriptionError"</v>
        <stp/>
        <stp>11935287284762367596</stp>
        <stp>Status</stp>
        <tr r="I8" s="11"/>
      </tp>
      <tp t="s">
        <v>"services.rtd.subscriptionError"</v>
        <stp/>
        <stp>18071176284543341830</stp>
        <stp>Status</stp>
        <tr r="I18" s="11"/>
      </tp>
      <tp t="s">
        <v>"services.rtd.subscriptionError"</v>
        <stp/>
        <stp>11935287284762367596</stp>
        <stp>Settle</stp>
        <tr r="H8" s="11"/>
      </tp>
      <tp t="s">
        <v>"services.rtd.subscriptionError"</v>
        <stp/>
        <stp>18071176284543341830</stp>
        <stp>Settle</stp>
        <tr r="H18" s="11"/>
      </tp>
      <tp t="s">
        <v>95.945</v>
        <stp/>
        <stp>10582686653072545408</stp>
        <stp>Settle</stp>
        <tr r="H9" s="3"/>
      </tp>
      <tp t="s">
        <v>"services.rtd.subscriptionError"</v>
        <stp/>
        <stp>17983703097809095440</stp>
        <stp>Settle</stp>
        <tr r="H17" s="6"/>
      </tp>
      <tp t="s">
        <v>"services.rtd.subscriptionError"</v>
        <stp/>
        <stp>10152022727750786343</stp>
        <stp>Settle</stp>
        <tr r="H5" s="11"/>
      </tp>
      <tp t="s">
        <v>"services.rtd.subscriptionError"</v>
        <stp/>
        <stp>14895182341839773964</stp>
        <stp>Settle</stp>
        <tr r="H22" s="5"/>
      </tp>
      <tp t="s">
        <v>96.385</v>
        <stp/>
        <stp>1173228227003061405</stp>
        <stp>Last</stp>
        <tr r="F4" s="7"/>
      </tp>
      <tp t="s">
        <v>95.680</v>
        <stp/>
        <stp>8069871726958016254</stp>
        <stp>Last</stp>
        <tr r="F25" s="3"/>
      </tp>
      <tp t="s">
        <v>"services.rtd.subscriptionError"</v>
        <stp/>
        <stp>3973483485124835681</stp>
        <stp>Last</stp>
        <tr r="F9" s="11"/>
      </tp>
      <tp t="s">
        <v>96.330</v>
        <stp/>
        <stp>9309381137161962615</stp>
        <stp>Last</stp>
        <tr r="F7" s="8"/>
      </tp>
      <tp t="s">
        <v>SR1U6</v>
        <stp/>
        <stp>9309381137161962615</stp>
        <stp>Name</stp>
        <tr r="C7" s="8"/>
      </tp>
      <tp t="s">
        <v>SA3 FMU0027!</v>
        <stp/>
        <stp>3973483485124835681</stp>
        <stp>Name</stp>
        <tr r="C9" s="11"/>
        <tr r="C9" s="11"/>
      </tp>
      <tp t="s">
        <v>SR3U1</v>
        <stp/>
        <stp>8069871726958016254</stp>
        <stp>Name</stp>
        <tr r="C25" s="3"/>
      </tp>
      <tp t="s">
        <v>ZQM6</v>
        <stp/>
        <stp>1173228227003061405</stp>
        <stp>Name</stp>
        <tr r="C4" s="7"/>
      </tp>
      <tp t="s">
        <v>"services.rtd.subscriptionError"</v>
        <stp/>
        <stp>12197960486633385234</stp>
        <stp>Status</stp>
        <tr r="I12" s="11"/>
      </tp>
      <tp t="s">
        <v>Open</v>
        <stp/>
        <stp>10475581751236764690</stp>
        <stp>Status</stp>
        <tr r="I23" s="8"/>
      </tp>
      <tp t="s">
        <v>Open</v>
        <stp/>
        <stp>17925935412019565973</stp>
        <stp>Status</stp>
        <tr r="I10" s="3"/>
      </tp>
      <tp t="s">
        <v>"services.rtd.subscriptionError"</v>
        <stp/>
        <stp>10290150595504250421</stp>
        <stp>Status</stp>
        <tr r="I8" s="6"/>
      </tp>
      <tp t="s">
        <v>95.990</v>
        <stp/>
        <stp>17925935412019565973</stp>
        <stp>Settle</stp>
        <tr r="H10" s="3"/>
      </tp>
      <tp t="s">
        <v>"services.rtd.subscriptionError"</v>
        <stp/>
        <stp>10290150595504250421</stp>
        <stp>Settle</stp>
        <tr r="H8" s="6"/>
      </tp>
      <tp t="s">
        <v>"services.rtd.subscriptionError"</v>
        <stp/>
        <stp>12197960486633385234</stp>
        <stp>Settle</stp>
        <tr r="H12" s="11"/>
      </tp>
      <tp t="s">
        <v>95.975</v>
        <stp/>
        <stp>10475581751236764690</stp>
        <stp>Settle</stp>
        <tr r="H23" s="8"/>
      </tp>
    </main>
    <main first="tt.rtd">
      <tp t="s">
        <v/>
        <stp/>
        <stp>4652571663407480418</stp>
        <stp>Last</stp>
        <tr r="F19" s="8"/>
      </tp>
      <tp t="s">
        <v>96.095</v>
        <stp/>
        <stp>7359239446017790966</stp>
        <stp>Last</stp>
        <tr r="F14" s="3"/>
      </tp>
      <tp t="s">
        <v>SR3Z8</v>
        <stp/>
        <stp>7359239446017790966</stp>
        <stp>Name</stp>
        <tr r="C14" s="3"/>
      </tp>
      <tp t="s">
        <v>SR1U7</v>
        <stp/>
        <stp>4652571663407480418</stp>
        <stp>Name</stp>
        <tr r="C19" s="8"/>
      </tp>
      <tp t="s">
        <v>Open</v>
        <stp/>
        <stp>10341135123007474384</stp>
        <stp>Status</stp>
        <tr r="I12" s="9"/>
      </tp>
      <tp t="s">
        <v>"services.rtd.subscriptionError"</v>
        <stp/>
        <stp>14330867541177216896</stp>
        <stp>Status</stp>
        <tr r="I5" s="5"/>
      </tp>
      <tp t="s">
        <v>"services.rtd.subscriptionError"</v>
        <stp/>
        <stp>15117311257991458693</stp>
        <stp>Status</stp>
        <tr r="I16" s="11"/>
      </tp>
      <tp t="s">
        <v>Open</v>
        <stp/>
        <stp>12741923103719175711</stp>
        <stp>Status</stp>
        <tr r="I12" s="3"/>
      </tp>
      <tp t="s">
        <v>Open</v>
        <stp/>
        <stp>13509294969420576563</stp>
        <stp>Status</stp>
        <tr r="I3" s="7"/>
      </tp>
      <tp t="s">
        <v>96.7050</v>
        <stp/>
        <stp>10341135123007474384</stp>
        <stp>Settle</stp>
        <tr r="H12" s="9"/>
      </tp>
      <tp t="s">
        <v>"services.rtd.subscriptionError"</v>
        <stp/>
        <stp>14330867541177216896</stp>
        <stp>Settle</stp>
        <tr r="H5" s="5"/>
      </tp>
      <tp t="s">
        <v>96.020</v>
        <stp/>
        <stp>12741923103719175711</stp>
        <stp>Settle</stp>
        <tr r="H12" s="3"/>
      </tp>
      <tp t="s">
        <v>"services.rtd.subscriptionError"</v>
        <stp/>
        <stp>15117311257991458693</stp>
        <stp>Settle</stp>
        <tr r="H16" s="11"/>
      </tp>
      <tp t="s">
        <v>96.3700</v>
        <stp/>
        <stp>13509294969420576563</stp>
        <stp>Settle</stp>
        <tr r="H3" s="7"/>
      </tp>
      <tp t="s">
        <v>"services.rtd.subscriptionError"</v>
        <stp/>
        <stp>6558853516677562258</stp>
        <stp>Last</stp>
        <tr r="F17" s="11"/>
      </tp>
      <tp t="s">
        <v/>
        <stp/>
        <stp>2798056836424267605</stp>
        <stp>Last</stp>
        <tr r="F26" s="3"/>
      </tp>
      <tp t="s">
        <v>"services.rtd.subscriptionError"</v>
        <stp/>
        <stp>4293326410978229541</stp>
        <stp>Last</stp>
        <tr r="F15" s="10"/>
      </tp>
      <tp t="s">
        <v>"services.rtd.subscriptionError"</v>
        <stp/>
        <stp>6777292727603905167</stp>
        <stp>Last</stp>
        <tr r="F4" s="11"/>
      </tp>
      <tp t="s">
        <v>96.100</v>
        <stp/>
        <stp>3324241383996491464</stp>
        <stp>Last</stp>
        <tr r="F19" s="7"/>
      </tp>
      <tp t="s">
        <v>96.7600</v>
        <stp/>
        <stp>2953900796497171980</stp>
        <stp>Last</stp>
        <tr r="F13" s="9"/>
      </tp>
      <tp t="s">
        <v>96.135</v>
        <stp/>
        <stp>2334564383434255324</stp>
        <stp>Last</stp>
        <tr r="F17" s="7"/>
      </tp>
      <tp t="s">
        <v>ZQN7</v>
        <stp/>
        <stp>2334564383434255324</stp>
        <stp>Name</stp>
        <tr r="C17" s="7"/>
      </tp>
      <tp t="s">
        <v>ZQU7</v>
        <stp/>
        <stp>3324241383996491464</stp>
        <stp>Name</stp>
        <tr r="C19" s="7"/>
      </tp>
      <tp t="s">
        <v>CRAU8</v>
        <stp/>
        <stp>2953900796497171980</stp>
        <stp>Name</stp>
        <tr r="C13" s="9"/>
      </tp>
      <tp t="s">
        <v>ER3 FMH0029!</v>
        <stp/>
        <stp>4293326410978229541</stp>
        <stp>Name</stp>
        <tr r="C15" s="10"/>
        <tr r="C15" s="10"/>
      </tp>
      <tp t="s">
        <v>SA3 FMM0026!</v>
        <stp/>
        <stp>6777292727603905167</stp>
        <stp>Name</stp>
        <tr r="C4" s="11"/>
        <tr r="C4" s="11"/>
      </tp>
      <tp t="s">
        <v>SR3Z1</v>
        <stp/>
        <stp>2798056836424267605</stp>
        <stp>Name</stp>
        <tr r="C26" s="3"/>
      </tp>
      <tp t="s">
        <v>SA3 FMU0029!</v>
        <stp/>
        <stp>6558853516677562258</stp>
        <stp>Name</stp>
        <tr r="C17" s="11"/>
        <tr r="C17" s="11"/>
      </tp>
      <tp t="s">
        <v>"services.rtd.subscriptionError"</v>
        <stp/>
        <stp>12062554666991936143</stp>
        <stp>Status</stp>
        <tr r="I9" s="10"/>
      </tp>
      <tp t="s">
        <v>"services.rtd.subscriptionError"</v>
        <stp/>
        <stp>16790086843721301972</stp>
        <stp>Status</stp>
        <tr r="I4" s="13"/>
      </tp>
      <tp t="s">
        <v>"services.rtd.subscriptionError"</v>
        <stp/>
        <stp>13485638123576588832</stp>
        <stp>Status</stp>
        <tr r="I24" s="6"/>
      </tp>
      <tp t="s">
        <v>"services.rtd.subscriptionError"</v>
        <stp/>
        <stp>16790086843721301972</stp>
        <stp>Settle</stp>
        <tr r="H4" s="13"/>
      </tp>
      <tp t="s">
        <v>"services.rtd.subscriptionError"</v>
        <stp/>
        <stp>13485638123576588832</stp>
        <stp>Settle</stp>
        <tr r="H24" s="6"/>
      </tp>
      <tp t="s">
        <v>"services.rtd.subscriptionError"</v>
        <stp/>
        <stp>12062554666991936143</stp>
        <stp>Settle</stp>
        <tr r="H9" s="10"/>
      </tp>
      <tp t="s">
        <v>"services.rtd.subscriptionError"</v>
        <stp/>
        <stp>6159411209048528655</stp>
        <stp>Last</stp>
        <tr r="F11" s="6"/>
      </tp>
      <tp t="s">
        <v>I   FMH0028!</v>
        <stp/>
        <stp>6159411209048528655</stp>
        <stp>Name</stp>
        <tr r="C11" s="6"/>
        <tr r="C11" s="6"/>
      </tp>
      <tp t="s">
        <v>Open</v>
        <stp/>
        <stp>11368534221547994415</stp>
        <stp>Status</stp>
        <tr r="I13" s="8"/>
      </tp>
      <tp t="s">
        <v>Open</v>
        <stp/>
        <stp>13762141828290349231</stp>
        <stp>Status</stp>
        <tr r="I21" s="3"/>
      </tp>
      <tp t="s">
        <v>"services.rtd.subscriptionError"</v>
        <stp/>
        <stp>16203147123713749534</stp>
        <stp>Status</stp>
        <tr r="I12" s="6"/>
      </tp>
      <tp t="s">
        <v>"services.rtd.subscriptionError"</v>
        <stp/>
        <stp>12203053644589187435</stp>
        <stp>Status</stp>
        <tr r="I13" s="11"/>
      </tp>
      <tp t="s">
        <v>"services.rtd.subscriptionError"</v>
        <stp/>
        <stp>12203053644589187435</stp>
        <stp>Settle</stp>
        <tr r="H13" s="11"/>
      </tp>
      <tp t="s">
        <v>96.050</v>
        <stp/>
        <stp>11368534221547994415</stp>
        <stp>Settle</stp>
        <tr r="H13" s="8"/>
      </tp>
      <tp t="s">
        <v>"services.rtd.subscriptionError"</v>
        <stp/>
        <stp>16203147123713749534</stp>
        <stp>Settle</stp>
        <tr r="H12" s="6"/>
      </tp>
      <tp t="s">
        <v>95.825</v>
        <stp/>
        <stp>13762141828290349231</stp>
        <stp>Settle</stp>
        <tr r="H21" s="3"/>
      </tp>
      <tp t="s">
        <v>"services.rtd.subscriptionError"</v>
        <stp/>
        <stp>6978109625607659725</stp>
        <stp>Last</stp>
        <tr r="F7" s="10"/>
      </tp>
      <tp t="s">
        <v>96.7850</v>
        <stp/>
        <stp>1605356167456418889</stp>
        <stp>Last</stp>
        <tr r="F11" s="9"/>
      </tp>
      <tp t="s">
        <v>"services.rtd.subscriptionError"</v>
        <stp/>
        <stp>6314259765637387886</stp>
        <stp>Last</stp>
        <tr r="F11" s="11"/>
      </tp>
      <tp t="s">
        <v>SA3 FMH0028!</v>
        <stp/>
        <stp>6314259765637387886</stp>
        <stp>Name</stp>
        <tr r="C11" s="11"/>
        <tr r="C11" s="11"/>
      </tp>
      <tp t="s">
        <v>CRAH8</v>
        <stp/>
        <stp>1605356167456418889</stp>
        <stp>Name</stp>
        <tr r="C11" s="9"/>
      </tp>
      <tp t="s">
        <v>ER3 FMH0027!</v>
        <stp/>
        <stp>6978109625607659725</stp>
        <stp>Name</stp>
        <tr r="C7" s="10"/>
        <tr r="C7" s="10"/>
      </tp>
      <tp t="s">
        <v>"services.rtd.subscriptionError"</v>
        <stp/>
        <stp>13181973989553924789</stp>
        <stp>Status</stp>
        <tr r="I13" s="6"/>
      </tp>
      <tp t="s">
        <v>Open</v>
        <stp/>
        <stp>13208077381270415860</stp>
        <stp>Status</stp>
        <tr r="I9" s="7"/>
      </tp>
      <tp t="s">
        <v>"services.rtd.subscriptionError"</v>
        <stp/>
        <stp>17269494829094841978</stp>
        <stp>Status</stp>
        <tr r="I5" s="12"/>
      </tp>
      <tp t="s">
        <v>"services.rtd.subscriptionError"</v>
        <stp/>
        <stp>17269494829094841978</stp>
        <stp>Settle</stp>
        <tr r="H5" s="12"/>
      </tp>
      <tp t="s">
        <v>"services.rtd.subscriptionError"</v>
        <stp/>
        <stp>13181973989553924789</stp>
        <stp>Settle</stp>
        <tr r="H13" s="6"/>
      </tp>
      <tp t="s">
        <v>96.240</v>
        <stp/>
        <stp>13208077381270415860</stp>
        <stp>Settle</stp>
        <tr r="H9" s="7"/>
      </tp>
      <tp t="s">
        <v>96.190</v>
        <stp/>
        <stp>3761391845186607269</stp>
        <stp>Last</stp>
        <tr r="F6" s="3"/>
      </tp>
      <tp t="s">
        <v>96.3775</v>
        <stp/>
        <stp>2264814074172926158</stp>
        <stp>Last</stp>
        <tr r="F3" s="3"/>
      </tp>
      <tp t="s">
        <v>"services.rtd.subscriptionError"</v>
        <stp/>
        <stp>6628990053936569924</stp>
        <stp>Last</stp>
        <tr r="F5" s="6"/>
      </tp>
      <tp t="s">
        <v>96.4275</v>
        <stp/>
        <stp>8541084758762950878</stp>
        <stp>Last</stp>
        <tr r="F3" s="8"/>
      </tp>
      <tp t="s">
        <v>96.370</v>
        <stp/>
        <stp>8298997090319007208</stp>
        <stp>Last</stp>
        <tr r="F6" s="7"/>
      </tp>
      <tp t="s">
        <v>96.035</v>
        <stp/>
        <stp>9909662404632894188</stp>
        <stp>Last</stp>
        <tr r="F17" s="3"/>
      </tp>
      <tp t="s">
        <v>96.3500</v>
        <stp/>
        <stp>2518875037886751798</stp>
        <stp>Last</stp>
        <tr r="F4" s="3"/>
      </tp>
      <tp t="s">
        <v>"services.rtd.subscriptionError"</v>
        <stp/>
        <stp>1727586975590923283</stp>
        <stp>Last</stp>
        <tr r="F20" s="6"/>
      </tp>
      <tp t="s">
        <v>"services.rtd.subscriptionError"</v>
        <stp/>
        <stp>3161274050251907543</stp>
        <stp>Last</stp>
        <tr r="F14" s="10"/>
      </tp>
      <tp t="s">
        <v>95.780</v>
        <stp/>
        <stp>9218462374027862637</stp>
        <stp>Last</stp>
        <tr r="F24" s="3"/>
      </tp>
      <tp t="s">
        <v>ER3 FMZ0028!</v>
        <stp/>
        <stp>3161274050251907543</stp>
        <stp>Name</stp>
        <tr r="C14" s="10"/>
        <tr r="C14" s="10"/>
      </tp>
      <tp t="s">
        <v>SR3M1</v>
        <stp/>
        <stp>9218462374027862637</stp>
        <stp>Name</stp>
        <tr r="C24" s="3"/>
      </tp>
      <tp t="s">
        <v>SR3M6</v>
        <stp/>
        <stp>2518875037886751798</stp>
        <stp>Name</stp>
        <tr r="C4" s="3"/>
      </tp>
      <tp t="s">
        <v>I   FMM0030!</v>
        <stp/>
        <stp>1727586975590923283</stp>
        <stp>Name</stp>
        <tr r="C20" s="6"/>
        <tr r="C20" s="6"/>
      </tp>
      <tp t="s">
        <v>ZQQ6</v>
        <stp/>
        <stp>8298997090319007208</stp>
        <stp>Name</stp>
        <tr r="C6" s="7"/>
      </tp>
      <tp t="s">
        <v>SR3U9</v>
        <stp/>
        <stp>9909662404632894188</stp>
        <stp>Name</stp>
        <tr r="C17" s="3"/>
      </tp>
      <tp t="s">
        <v>SR1K6</v>
        <stp/>
        <stp>8541084758762950878</stp>
        <stp>Name</stp>
        <tr r="C3" s="8"/>
      </tp>
      <tp t="s">
        <v>SR3H6</v>
        <stp/>
        <stp>2264814074172926158</stp>
        <stp>Name</stp>
        <tr r="C3" s="3"/>
      </tp>
      <tp t="s">
        <v>I   FMU0026!</v>
        <stp/>
        <stp>6628990053936569924</stp>
        <stp>Name</stp>
        <tr r="C5" s="6"/>
        <tr r="C5" s="6"/>
      </tp>
      <tp t="s">
        <v>SR3Z6</v>
        <stp/>
        <stp>3761391845186607269</stp>
        <stp>Name</stp>
        <tr r="C6" s="3"/>
      </tp>
      <tp t="s">
        <v>"services.rtd.subscriptionError"</v>
        <stp/>
        <stp>14714678855879803828</stp>
        <stp>Status</stp>
        <tr r="I3" s="11"/>
      </tp>
      <tp t="s">
        <v>"services.rtd.subscriptionError"</v>
        <stp/>
        <stp>13942165873650377178</stp>
        <stp>Status</stp>
        <tr r="I5" s="10"/>
      </tp>
      <tp t="s">
        <v>Open</v>
        <stp/>
        <stp>11729320422875922731</stp>
        <stp>Status</stp>
        <tr r="I18" s="7"/>
      </tp>
      <tp t="s">
        <v>"services.rtd.subscriptionError"</v>
        <stp/>
        <stp>14714678855879803828</stp>
        <stp>Settle</stp>
        <tr r="H3" s="11"/>
      </tp>
      <tp t="s">
        <v>"services.rtd.subscriptionError"</v>
        <stp/>
        <stp>13942165873650377178</stp>
        <stp>Settle</stp>
        <tr r="H5" s="10"/>
      </tp>
      <tp t="s">
        <v>95.975</v>
        <stp/>
        <stp>11729320422875922731</stp>
        <stp>Settle</stp>
        <tr r="H18" s="7"/>
      </tp>
      <tp t="s">
        <v>"services.rtd.subscriptionError"</v>
        <stp/>
        <stp>1778338967582843813</stp>
        <stp>Last</stp>
        <tr r="F12" s="5"/>
      </tp>
      <tp t="s">
        <v>96.075</v>
        <stp/>
        <stp>4211986922965728750</stp>
        <stp>Last</stp>
        <tr r="F15" s="3"/>
      </tp>
      <tp t="s">
        <v>"services.rtd.subscriptionError"</v>
        <stp/>
        <stp>4020974588637570309</stp>
        <stp>Last</stp>
        <tr r="F17" s="10"/>
      </tp>
      <tp t="s">
        <v>"services.rtd.subscriptionError"</v>
        <stp/>
        <stp>1588166901584120091</stp>
        <stp>Last</stp>
        <tr r="F3" s="13"/>
      </tp>
      <tp t="s">
        <v>96.350</v>
        <stp/>
        <stp>1431239809246394376</stp>
        <stp>Last</stp>
        <tr r="F6" s="8"/>
      </tp>
      <tp t="s">
        <v>"services.rtd.subscriptionError"</v>
        <stp/>
        <stp>1747584185598573651</stp>
        <stp>Last</stp>
        <tr r="F23" s="5"/>
      </tp>
      <tp t="s">
        <v>SO3 FMH0031!</v>
        <stp/>
        <stp>1747584185598573651</stp>
        <stp>Name</stp>
        <tr r="C23" s="5"/>
        <tr r="C23" s="5"/>
      </tp>
      <tp t="s">
        <v>SR1Q6</v>
        <stp/>
        <stp>1431239809246394376</stp>
        <stp>Name</stp>
        <tr r="C6" s="8"/>
      </tp>
      <tp t="s">
        <v>MPC FMM0026!</v>
        <stp/>
        <stp>1588166901584120091</stp>
        <stp>Name</stp>
        <tr r="C3" s="13"/>
        <tr r="C3" s="13"/>
      </tp>
      <tp t="s">
        <v>ER3 FMU0029!</v>
        <stp/>
        <stp>4020974588637570309</stp>
        <stp>Name</stp>
        <tr r="C17" s="10"/>
        <tr r="C17" s="10"/>
      </tp>
      <tp t="s">
        <v>SO3 FMM0028!</v>
        <stp/>
        <stp>1778338967582843813</stp>
        <stp>Name</stp>
        <tr r="C12" s="5"/>
        <tr r="C12" s="5"/>
      </tp>
      <tp t="s">
        <v>SR3H9</v>
        <stp/>
        <stp>4211986922965728750</stp>
        <stp>Name</stp>
        <tr r="C15" s="3"/>
      </tp>
      <tp t="s">
        <v>Open</v>
        <stp/>
        <stp>11906745505255579027</stp>
        <stp>Status</stp>
        <tr r="I19" s="3"/>
      </tp>
      <tp t="s">
        <v>Open</v>
        <stp/>
        <stp>12003865359272718488</stp>
        <stp>Status</stp>
        <tr r="I22" s="8"/>
      </tp>
      <tp t="s">
        <v>96.050</v>
        <stp/>
        <stp>12003865359272718488</stp>
        <stp>Settle</stp>
        <tr r="H22" s="8"/>
      </tp>
      <tp t="s">
        <v>95.890</v>
        <stp/>
        <stp>11906745505255579027</stp>
        <stp>Settle</stp>
        <tr r="H19" s="3"/>
      </tp>
      <tp t="s">
        <v>5444827104880269937</v>
        <stp/>
        <stp>Inst</stp>
        <stp>ICE_L</stp>
        <stp>I   FMM0026!</stp>
        <tr r="B4" s="6"/>
      </tp>
      <tp t="s">
        <v>10290150595504250421</v>
        <stp/>
        <stp>Inst</stp>
        <stp>ICE_L</stp>
        <stp>I   FMM0027!</stp>
        <tr r="B8" s="6"/>
      </tp>
      <tp t="s">
        <v>6532810731306051149</v>
        <stp/>
        <stp>Inst</stp>
        <stp>ICE_L</stp>
        <stp>I   FMH0027!</stp>
        <tr r="B7" s="6"/>
      </tp>
      <tp t="s">
        <v>1972877616990500330</v>
        <stp/>
        <stp>Inst</stp>
        <stp>ICE_L</stp>
        <stp>I   FMH0029!</stp>
        <tr r="B15" s="6"/>
      </tp>
      <tp t="s">
        <v>6159411209048528655</v>
        <stp/>
        <stp>Inst</stp>
        <stp>ICE_L</stp>
        <stp>I   FMH0028!</stp>
        <tr r="B11" s="6"/>
      </tp>
      <tp t="s">
        <v>16203147123713749534</v>
        <stp/>
        <stp>Inst</stp>
        <stp>ICE_L</stp>
        <stp>I   FMM0028!</stp>
        <tr r="B12" s="6"/>
      </tp>
      <tp t="s">
        <v>5829843526467061673</v>
        <stp/>
        <stp>Inst</stp>
        <stp>ICE_L</stp>
        <stp>I   FMM0029!</stp>
        <tr r="B16" s="6"/>
      </tp>
      <tp t="s">
        <v>13181973989553924789</v>
        <stp/>
        <stp>Inst</stp>
        <stp>ICE_L</stp>
        <stp>I   FMU0028!</stp>
        <tr r="B13" s="6"/>
      </tp>
      <tp t="s">
        <v>17244622560953637946</v>
        <stp/>
        <stp>Inst</stp>
        <stp>ICE_L</stp>
        <stp>I   FMZ0027!</stp>
        <tr r="B10" s="6"/>
      </tp>
      <tp t="s">
        <v>17983703097809095440</v>
        <stp/>
        <stp>Inst</stp>
        <stp>ICE_L</stp>
        <stp>I   FMU0029!</stp>
        <tr r="B17" s="6"/>
      </tp>
      <tp t="s">
        <v>196073038322495181</v>
        <stp/>
        <stp>Inst</stp>
        <stp>ICE_L</stp>
        <stp>I   FMZ0026!</stp>
        <tr r="B6" s="6"/>
      </tp>
      <tp t="s">
        <v>6628990053936569924</v>
        <stp/>
        <stp>Inst</stp>
        <stp>ICE_L</stp>
        <stp>I   FMU0026!</stp>
        <tr r="B5" s="6"/>
      </tp>
      <tp t="s">
        <v>18370117369950377328</v>
        <stp/>
        <stp>Inst</stp>
        <stp>ICE_L</stp>
        <stp>I   FMZ0029!</stp>
        <tr r="B18" s="6"/>
      </tp>
      <tp t="s">
        <v>18341350720628559368</v>
        <stp/>
        <stp>Inst</stp>
        <stp>ICE_L</stp>
        <stp>I   FMU0027!</stp>
        <tr r="B9" s="6"/>
      </tp>
      <tp t="s">
        <v>6189133329181631919</v>
        <stp/>
        <stp>Inst</stp>
        <stp>ICE_L</stp>
        <stp>I   FMZ0028!</stp>
        <tr r="B14" s="6"/>
      </tp>
      <tp t="s">
        <v>"services.rtd.subscriptionError"</v>
        <stp/>
        <stp>3959173724590121969</stp>
        <stp>Last</stp>
        <tr r="F22" s="10"/>
      </tp>
      <tp t="s">
        <v>"services.rtd.subscriptionError"</v>
        <stp/>
        <stp>6883681751251454284</stp>
        <stp>Last</stp>
        <tr r="F10" s="5"/>
      </tp>
      <tp t="s">
        <v>"services.rtd.subscriptionError"</v>
        <stp/>
        <stp>5829843526467061673</stp>
        <stp>Last</stp>
        <tr r="F16" s="6"/>
      </tp>
      <tp t="s">
        <v>I   FMM0029!</v>
        <stp/>
        <stp>5829843526467061673</stp>
        <stp>Name</stp>
        <tr r="C16" s="6"/>
        <tr r="C16" s="6"/>
      </tp>
      <tp t="s">
        <v>SO3 FMZ0027!</v>
        <stp/>
        <stp>6883681751251454284</stp>
        <stp>Name</stp>
        <tr r="C10" s="5"/>
        <tr r="C10" s="5"/>
      </tp>
      <tp t="s">
        <v>ER3 FMZ0030!</v>
        <stp/>
        <stp>3959173724590121969</stp>
        <stp>Name</stp>
        <tr r="C22" s="10"/>
        <tr r="C22" s="10"/>
      </tp>
      <tp t="s">
        <v>"services.rtd.subscriptionError"</v>
        <stp/>
        <stp>12651832782987310492</stp>
        <stp>Status</stp>
        <tr r="I7" s="13"/>
      </tp>
      <tp t="s">
        <v>Open</v>
        <stp/>
        <stp>10620117733411968864</stp>
        <stp>Status</stp>
        <tr r="I21" s="7"/>
      </tp>
      <tp t="s">
        <v>96.015</v>
        <stp/>
        <stp>10620117733411968864</stp>
        <stp>Settle</stp>
        <tr r="H21" s="7"/>
      </tp>
      <tp t="s">
        <v>"services.rtd.subscriptionError"</v>
        <stp/>
        <stp>12651832782987310492</stp>
        <stp>Settle</stp>
        <tr r="H7" s="13"/>
      </tp>
      <tp t="s">
        <v>16839673253147663046</v>
        <stp/>
        <stp>Inst</stp>
        <stp>ICE_L</stp>
        <stp>I   FMH0031!</stp>
        <tr r="B23" s="6"/>
      </tp>
      <tp t="s">
        <v>6488806392486217148</v>
        <stp/>
        <stp>Inst</stp>
        <stp>ICE_L</stp>
        <stp>I   FMH0030!</stp>
        <tr r="B19" s="6"/>
      </tp>
      <tp t="s">
        <v>1727586975590923283</v>
        <stp/>
        <stp>Inst</stp>
        <stp>ICE_L</stp>
        <stp>I   FMM0030!</stp>
        <tr r="B20" s="6"/>
      </tp>
      <tp t="s">
        <v>13485638123576588832</v>
        <stp/>
        <stp>Inst</stp>
        <stp>ICE_L</stp>
        <stp>I   FMM0031!</stp>
        <tr r="B24" s="6"/>
      </tp>
      <tp t="s">
        <v>11911434118028235803</v>
        <stp/>
        <stp>Inst</stp>
        <stp>ICE_L</stp>
        <stp>I   FMZ0031!</stp>
        <tr r="B26" s="6"/>
      </tp>
      <tp t="s">
        <v>9275986266275574972</v>
        <stp/>
        <stp>Inst</stp>
        <stp>ICE_L</stp>
        <stp>I   FMZ0030!</stp>
        <tr r="B22" s="6"/>
      </tp>
      <tp t="s">
        <v>7297840225510912048</v>
        <stp/>
        <stp>Inst</stp>
        <stp>ICE_L</stp>
        <stp>I   FMU0030!</stp>
        <tr r="B21" s="6"/>
      </tp>
      <tp t="s">
        <v>2999253133876982849</v>
        <stp/>
        <stp>Inst</stp>
        <stp>ICE_L</stp>
        <stp>I   FMU0031!</stp>
        <tr r="B25" s="6"/>
      </tp>
      <tp t="s">
        <v/>
        <stp/>
        <stp>5228476373492902639</stp>
        <stp>Last</stp>
        <tr r="F3" s="9"/>
      </tp>
      <tp t="s">
        <v>"services.rtd.subscriptionError"</v>
        <stp/>
        <stp>5619891302845554146</stp>
        <stp>Last</stp>
        <tr r="F7" s="11"/>
      </tp>
      <tp t="s">
        <v>"services.rtd.subscriptionError"</v>
        <stp/>
        <stp>4771138968527992296</stp>
        <stp>Last</stp>
        <tr r="F11" s="5"/>
      </tp>
      <tp t="s">
        <v/>
        <stp/>
        <stp>1916532763064230074</stp>
        <stp>Last</stp>
        <tr r="F27" s="5"/>
      </tp>
      <tp t="s">
        <v>"services.rtd.subscriptionError"</v>
        <stp/>
        <stp>6189133329181631919</stp>
        <stp>Last</stp>
        <tr r="F14" s="6"/>
      </tp>
      <tp t="s">
        <v>95.880</v>
        <stp/>
        <stp>5899392161601857848</stp>
        <stp>Last</stp>
        <tr r="F22" s="3"/>
      </tp>
      <tp t="s">
        <v>"services.rtd.subscriptionError"</v>
        <stp/>
        <stp>9603963912848611289</stp>
        <stp>Last</stp>
        <tr r="F25" s="5"/>
      </tp>
      <tp t="s">
        <v>SO3 FMU0031!</v>
        <stp/>
        <stp>9603963912848611289</stp>
        <stp>Name</stp>
        <tr r="C25" s="5"/>
        <tr r="C25" s="5"/>
      </tp>
      <tp t="s">
        <v>I   FMZ0028!</v>
        <stp/>
        <stp>6189133329181631919</stp>
        <stp>Name</stp>
        <tr r="C14" s="6"/>
        <tr r="C14" s="6"/>
      </tp>
      <tp t="s">
        <v>SR3Z0</v>
        <stp/>
        <stp>5899392161601857848</stp>
        <stp>Name</stp>
        <tr r="C22" s="3"/>
      </tp>
      <tp t="s">
        <v>SO3 FMH0028!</v>
        <stp/>
        <stp>4771138968527992296</stp>
        <stp>Name</stp>
        <tr r="C11" s="5"/>
        <tr r="C11" s="5"/>
      </tp>
      <tp t="s">
        <v>SO3 FMH0032!</v>
        <stp/>
        <stp>1916532763064230074</stp>
        <stp>Name</stp>
        <tr r="C27" s="5"/>
        <tr r="C27" s="5"/>
      </tp>
      <tp t="s">
        <v>SA3 FMH0027!</v>
        <stp/>
        <stp>5619891302845554146</stp>
        <stp>Name</stp>
        <tr r="C7" s="11"/>
        <tr r="C7" s="11"/>
      </tp>
      <tp t="s">
        <v>CRAH6</v>
        <stp/>
        <stp>5228476373492902639</stp>
        <stp>Name</stp>
        <tr r="C3" s="9"/>
      </tp>
      <tp t="s">
        <v>"services.rtd.subscriptionError"</v>
        <stp/>
        <stp>18341350720628559368</stp>
        <stp>Status</stp>
        <tr r="I9" s="6"/>
      </tp>
      <tp t="s">
        <v>CRAM7</v>
        <stp/>
        <stp>8219882023429969</stp>
        <stp>Name</stp>
        <tr r="C8" s="9"/>
      </tp>
      <tp t="s">
        <v>Open</v>
        <stp/>
        <stp>14449049893797955023</stp>
        <stp>Status</stp>
        <tr r="I10" s="9"/>
      </tp>
      <tp t="s">
        <v>96.7500</v>
        <stp/>
        <stp>14449049893797955023</stp>
        <stp>Settle</stp>
        <tr r="H10" s="9"/>
      </tp>
      <tp t="s">
        <v>96.8850</v>
        <stp/>
        <stp>8219882023429969</stp>
        <stp>Last</stp>
        <tr r="F8" s="9"/>
      </tp>
      <tp t="s">
        <v>"services.rtd.subscriptionError"</v>
        <stp/>
        <stp>18341350720628559368</stp>
        <stp>Settle</stp>
        <tr r="H9" s="6"/>
      </tp>
    </main>
    <main first="tt.rtd">
      <tp t="s">
        <v>"services.rtd.subscriptionError"</v>
        <stp/>
        <stp>4168309689089408432</stp>
        <stp>Last</stp>
        <tr r="F19" s="10"/>
      </tp>
      <tp t="s">
        <v>"services.rtd.subscriptionError"</v>
        <stp/>
        <stp>7750437799258336819</stp>
        <stp>Last</stp>
        <tr r="F21" s="5"/>
      </tp>
      <tp t="s">
        <v>SO3 FMU0030!</v>
        <stp/>
        <stp>7750437799258336819</stp>
        <stp>Name</stp>
        <tr r="C21" s="5"/>
        <tr r="C21" s="5"/>
      </tp>
      <tp t="s">
        <v>ER3 FMH0030!</v>
        <stp/>
        <stp>4168309689089408432</stp>
        <stp>Name</stp>
        <tr r="C19" s="10"/>
        <tr r="C19" s="10"/>
      </tp>
      <tp t="s">
        <v>"services.rtd.subscriptionError"</v>
        <stp/>
        <stp>12215144550695335695</stp>
        <stp>Status</stp>
        <tr r="I11" s="10"/>
      </tp>
      <tp t="s">
        <v>"services.rtd.subscriptionError"</v>
        <stp/>
        <stp>16839673253147663046</stp>
        <stp>Status</stp>
        <tr r="I23" s="6"/>
      </tp>
      <tp t="s">
        <v>"services.rtd.subscriptionError"</v>
        <stp/>
        <stp>12146542221589140494</stp>
        <stp>Status</stp>
        <tr r="I10" s="11"/>
      </tp>
      <tp t="s">
        <v>"services.rtd.subscriptionError"</v>
        <stp/>
        <stp>14401575330262518877</stp>
        <stp>Status</stp>
        <tr r="I14" s="11"/>
      </tp>
      <tp t="s">
        <v>"services.rtd.subscriptionError"</v>
        <stp/>
        <stp>17711323309675939815</stp>
        <stp>Status</stp>
        <tr r="I16" s="10"/>
      </tp>
      <tp t="s">
        <v>"services.rtd.subscriptionError"</v>
        <stp/>
        <stp>17711323309675939815</stp>
        <stp>Settle</stp>
        <tr r="H16" s="10"/>
      </tp>
      <tp t="s">
        <v>"services.rtd.subscriptionError"</v>
        <stp/>
        <stp>12146542221589140494</stp>
        <stp>Settle</stp>
        <tr r="H10" s="11"/>
      </tp>
      <tp t="s">
        <v>"services.rtd.subscriptionError"</v>
        <stp/>
        <stp>14401575330262518877</stp>
        <stp>Settle</stp>
        <tr r="H14" s="11"/>
      </tp>
      <tp t="s">
        <v>"services.rtd.subscriptionError"</v>
        <stp/>
        <stp>12215144550695335695</stp>
        <stp>Settle</stp>
        <tr r="H11" s="10"/>
      </tp>
      <tp t="s">
        <v>"services.rtd.subscriptionError"</v>
        <stp/>
        <stp>16839673253147663046</stp>
        <stp>Settle</stp>
        <tr r="H23" s="6"/>
      </tp>
      <tp t="s">
        <v>96.375</v>
        <stp/>
        <stp>3880399603150483481</stp>
        <stp>Last</stp>
        <tr r="F5" s="8"/>
      </tp>
      <tp t="s">
        <v>"services.rtd.subscriptionError"</v>
        <stp/>
        <stp>1972877616990500330</stp>
        <stp>Last</stp>
        <tr r="F15" s="6"/>
      </tp>
      <tp t="s">
        <v>"services.rtd.subscriptionError"</v>
        <stp/>
        <stp>1617737763414000389</stp>
        <stp>Last</stp>
        <tr r="F8" s="10"/>
      </tp>
      <tp t="s">
        <v>96.295</v>
        <stp/>
        <stp>8373859479390367820</stp>
        <stp>Last</stp>
        <tr r="F9" s="8"/>
      </tp>
      <tp t="s">
        <v>"services.rtd.subscriptionError"</v>
        <stp/>
        <stp>7297840225510912048</stp>
        <stp>Last</stp>
        <tr r="F21" s="6"/>
      </tp>
      <tp t="s">
        <v>"services.rtd.subscriptionError"</v>
        <stp/>
        <stp>2929215027186538641</stp>
        <stp>Last</stp>
        <tr r="F6" s="5"/>
      </tp>
      <tp t="s">
        <v/>
        <stp/>
        <stp>7870360088204015982</stp>
        <stp>Last</stp>
        <tr r="F21" s="8"/>
      </tp>
      <tp t="s">
        <v>"services.rtd.subscriptionError"</v>
        <stp/>
        <stp>9275986266275574972</stp>
        <stp>Last</stp>
        <tr r="F22" s="6"/>
      </tp>
      <tp t="s">
        <v>I   FMZ0030!</v>
        <stp/>
        <stp>9275986266275574972</stp>
        <stp>Name</stp>
        <tr r="C22" s="6"/>
        <tr r="C22" s="6"/>
      </tp>
      <tp t="s">
        <v>SR1X7</v>
        <stp/>
        <stp>7870360088204015982</stp>
        <stp>Name</stp>
        <tr r="C21" s="8"/>
      </tp>
      <tp t="s">
        <v>I   FMU0030!</v>
        <stp/>
        <stp>7297840225510912048</stp>
        <stp>Name</stp>
        <tr r="C21" s="6"/>
        <tr r="C21" s="6"/>
      </tp>
      <tp t="s">
        <v>SO3 FMZ0026!</v>
        <stp/>
        <stp>2929215027186538641</stp>
        <stp>Name</stp>
        <tr r="C6" s="5"/>
        <tr r="C6" s="5"/>
      </tp>
      <tp t="s">
        <v>ER3 FMM0027!</v>
        <stp/>
        <stp>1617737763414000389</stp>
        <stp>Name</stp>
        <tr r="C8" s="10"/>
        <tr r="C8" s="10"/>
      </tp>
      <tp t="s">
        <v>SR1X6</v>
        <stp/>
        <stp>8373859479390367820</stp>
        <stp>Name</stp>
        <tr r="C9" s="8"/>
      </tp>
      <tp t="s">
        <v>SR1N6</v>
        <stp/>
        <stp>3880399603150483481</stp>
        <stp>Name</stp>
        <tr r="C5" s="8"/>
      </tp>
      <tp t="s">
        <v>I   FMH0029!</v>
        <stp/>
        <stp>1972877616990500330</stp>
        <stp>Name</stp>
        <tr r="C15" s="6"/>
        <tr r="C15" s="6"/>
      </tp>
      <tp t="s">
        <v>"services.rtd.invalidInstrumentFormat"</v>
        <stp/>
        <stp>"services.rtd.failedToFindInstrument"</stp>
        <stp>Name</stp>
        <tr r="C11" s="13"/>
        <tr r="C11" s="13"/>
        <tr r="C10" s="12"/>
        <tr r="C10" s="12"/>
        <tr r="C6" s="12"/>
        <tr r="C6" s="12"/>
        <tr r="C11" s="12"/>
        <tr r="C11" s="12"/>
        <tr r="C9" s="12"/>
        <tr r="C9" s="12"/>
        <tr r="C9" s="13"/>
        <tr r="C9" s="13"/>
        <tr r="C8" s="13"/>
        <tr r="C8" s="13"/>
        <tr r="C7" s="12"/>
        <tr r="C7" s="12"/>
        <tr r="C8" s="12"/>
        <tr r="C8" s="12"/>
        <tr r="C15" s="9"/>
        <tr r="C10" s="13"/>
        <tr r="C10" s="13"/>
      </tp>
      <tp t="s">
        <v>Open</v>
        <stp/>
        <stp>410715719020149495</stp>
        <stp>Status</stp>
        <tr r="I14" s="7"/>
      </tp>
      <tp t="s">
        <v>"services.rtd.subscriptionError"</v>
        <stp/>
        <stp>978230606953087791</stp>
        <stp>Status</stp>
        <tr r="I13" s="10"/>
      </tp>
      <tp t="s">
        <v>96.035</v>
        <stp/>
        <stp>410715719020149495</stp>
        <stp>Settle</stp>
        <tr r="H14" s="7"/>
      </tp>
      <tp t="s">
        <v>"services.rtd.invalidInstrumentFormat"</v>
        <stp/>
        <stp>"services.rtd.failedToFindInstrument"</stp>
        <stp>Last</stp>
        <tr r="F10" s="13"/>
        <tr r="F8" s="12"/>
        <tr r="F15" s="9"/>
        <tr r="F6" s="12"/>
        <tr r="F9" s="13"/>
        <tr r="F7" s="12"/>
        <tr r="F11" s="13"/>
        <tr r="F10" s="12"/>
        <tr r="F9" s="12"/>
        <tr r="F11" s="12"/>
        <tr r="F8" s="13"/>
      </tp>
      <tp t="s">
        <v>"services.rtd.subscriptionError"</v>
        <stp/>
        <stp>978230606953087791</stp>
        <stp>Settle</stp>
        <tr r="H13" s="10"/>
      </tp>
      <tp t="s">
        <v>Open</v>
        <stp/>
        <stp>690279264195766323</stp>
        <stp>Status</stp>
        <tr r="I16" s="7"/>
      </tp>
      <tp t="s">
        <v>ZQM7</v>
        <stp/>
        <stp>690279264195766323</stp>
        <stp>Name</stp>
        <tr r="C16" s="7"/>
      </tp>
      <tp t="s">
        <v>96.140</v>
        <stp/>
        <stp>690279264195766323</stp>
        <stp>Last</stp>
        <tr r="F16" s="7"/>
      </tp>
      <tp t="s">
        <v>95.990</v>
        <stp/>
        <stp>690279264195766323</stp>
        <stp>Settle</stp>
        <tr r="H16" s="7"/>
      </tp>
      <tp t="s">
        <v>96.8850</v>
        <stp/>
        <stp>8219882023429969</stp>
        <stp>Ask</stp>
        <tr r="D8" s="9"/>
      </tp>
      <tp t="s">
        <v>96.8800</v>
        <stp/>
        <stp>8219882023429969</stp>
        <stp>Bid</stp>
        <tr r="E8" s="9"/>
      </tp>
      <tp t="s">
        <v>SO3 FMZ0031!</v>
        <stp/>
        <stp>364994179361158614</stp>
        <stp>Name</stp>
        <tr r="C26" s="5"/>
        <tr r="C26" s="5"/>
      </tp>
      <tp t="s">
        <v>ZQH7</v>
        <stp/>
        <stp>887816061348387785</stp>
        <stp>Name</stp>
        <tr r="C13" s="7"/>
      </tp>
      <tp t="s">
        <v>"services.rtd.subscriptionError"</v>
        <stp/>
        <stp>364994179361158614</stp>
        <stp>Last</stp>
        <tr r="F26" s="5"/>
      </tp>
      <tp t="s">
        <v>96.200</v>
        <stp/>
        <stp>887816061348387785</stp>
        <stp>Last</stp>
        <tr r="F13" s="7"/>
      </tp>
      <tp t="s">
        <v>I   FMZ0026!</v>
        <stp/>
        <stp>196073038322495181</stp>
        <stp>Name</stp>
        <tr r="C6" s="6"/>
        <tr r="C6" s="6"/>
      </tp>
      <tp t="s">
        <v>"services.rtd.subscriptionError"</v>
        <stp/>
        <stp>196073038322495181</stp>
        <stp>Last</stp>
        <tr r="F6" s="6"/>
      </tp>
      <tp>
        <v>9</v>
        <stp/>
        <stp>8219882023429969</stp>
        <stp>CTQ</stp>
        <tr r="G8" s="9"/>
        <tr r="J8" s="9"/>
      </tp>
    </main>
    <main first="tt.rtd">
      <tp t="s">
        <v>ER3 FMU0028!</v>
        <stp/>
        <stp>978230606953087791</stp>
        <stp>Name</stp>
        <tr r="C13" s="10"/>
        <tr r="C13" s="10"/>
      </tp>
      <tp t="s">
        <v>"services.rtd.subscriptionError"</v>
        <stp/>
        <stp>978230606953087791</stp>
        <stp>Last</stp>
        <tr r="F13" s="10"/>
      </tp>
      <tp t="s">
        <v>ZQJ7</v>
        <stp/>
        <stp>410715719020149495</stp>
        <stp>Name</stp>
        <tr r="C14" s="7"/>
      </tp>
      <tp t="s">
        <v>96.170</v>
        <stp/>
        <stp>410715719020149495</stp>
        <stp>Last</stp>
        <tr r="F14" s="7"/>
      </tp>
      <tp t="s">
        <v>SR1Z6</v>
        <stp/>
        <stp>638935919762336382</stp>
        <stp>Name</stp>
        <tr r="C10" s="8"/>
      </tp>
      <tp t="s">
        <v>96.240</v>
        <stp/>
        <stp>638935919762336382</stp>
        <stp>Last</stp>
        <tr r="F10" s="8"/>
      </tp>
      <tp t="s">
        <v>"services.rtd.subscriptionError"</v>
        <stp/>
        <stp>364994179361158614</stp>
        <stp>Status</stp>
        <tr r="I26" s="5"/>
      </tp>
      <tp t="s">
        <v>"services.rtd.subscriptionError"</v>
        <stp/>
        <stp>364994179361158614</stp>
        <stp>Settle</stp>
        <tr r="H26" s="5"/>
      </tp>
      <tp t="s">
        <v>Open</v>
        <stp/>
        <stp>887816061348387785</stp>
        <stp>Status</stp>
        <tr r="I13" s="7"/>
      </tp>
      <tp t="s">
        <v>96.075</v>
        <stp/>
        <stp>887816061348387785</stp>
        <stp>Settle</stp>
        <tr r="H13" s="7"/>
      </tp>
    </main>
    <main first="tt.rtd">
      <tp t="s">
        <v>ZQZ7</v>
        <stp/>
        <stp>696286304630187001</stp>
        <stp>Name</stp>
        <tr r="C22" s="7"/>
      </tp>
      <tp t="s">
        <v>ZQG7</v>
        <stp/>
        <stp>880647980586631019</stp>
        <stp>Name</stp>
        <tr r="C12" s="7"/>
      </tp>
      <tp t="s">
        <v>96.225</v>
        <stp/>
        <stp>880647980586631019</stp>
        <stp>Last</stp>
        <tr r="F12" s="7"/>
      </tp>
      <tp t="s">
        <v/>
        <stp/>
        <stp>696286304630187001</stp>
        <stp>Last</stp>
        <tr r="F22" s="7"/>
      </tp>
    </main>
    <main first="tt.rtd">
      <tp t="s">
        <v>SO3 FMM0030!</v>
        <stp/>
        <stp>984227764123173732</stp>
        <stp>Name</stp>
        <tr r="C20" s="5"/>
        <tr r="C20" s="5"/>
      </tp>
      <tp t="s">
        <v>Open</v>
        <stp/>
        <stp>880647980586631019</stp>
        <stp>Status</stp>
        <tr r="I12" s="7"/>
      </tp>
      <tp t="s">
        <v>96.110</v>
        <stp/>
        <stp>880647980586631019</stp>
        <stp>Settle</stp>
        <tr r="H12" s="7"/>
      </tp>
      <tp t="s">
        <v>"services.rtd.subscriptionError"</v>
        <stp/>
        <stp>984227764123173732</stp>
        <stp>Last</stp>
        <tr r="F20" s="5"/>
      </tp>
      <tp t="s">
        <v>"services.rtd.subscriptionError"</v>
        <stp/>
        <stp>196073038322495181</stp>
        <stp>Status</stp>
        <tr r="I6" s="6"/>
      </tp>
      <tp t="s">
        <v>Open</v>
        <stp/>
        <stp>696286304630187001</stp>
        <stp>Status</stp>
        <tr r="I22" s="7"/>
      </tp>
      <tp t="s">
        <v>Open</v>
        <stp/>
        <stp>638935919762336382</stp>
        <stp>Status</stp>
        <tr r="I10" s="8"/>
      </tp>
      <tp t="s">
        <v>96.145</v>
        <stp/>
        <stp>638935919762336382</stp>
        <stp>Settle</stp>
        <tr r="H10" s="8"/>
      </tp>
      <tp t="s">
        <v>"services.rtd.subscriptionError"</v>
        <stp/>
        <stp>196073038322495181</stp>
        <stp>Settle</stp>
        <tr r="H6" s="6"/>
      </tp>
      <tp t="s">
        <v>96.080</v>
        <stp/>
        <stp>696286304630187001</stp>
        <stp>Settle</stp>
        <tr r="H22" s="7"/>
      </tp>
      <tp t="s">
        <v>"services.rtd.subscriptionError"</v>
        <stp/>
        <stp>984227764123173732</stp>
        <stp>Status</stp>
        <tr r="I20" s="5"/>
      </tp>
      <tp t="s">
        <v>"services.rtd.subscriptionError"</v>
        <stp/>
        <stp>984227764123173732</stp>
        <stp>Settle</stp>
        <tr r="H20" s="5"/>
      </tp>
      <tp>
        <v>36</v>
        <stp/>
        <stp>12350987571259131621</stp>
        <stp>CTQ</stp>
        <tr r="G18" s="3"/>
        <tr r="J18" s="3"/>
      </tp>
      <tp>
        <v>2</v>
        <stp/>
        <stp>11906745505255579027</stp>
        <stp>CTQ</stp>
        <tr r="J19" s="3"/>
        <tr r="G19" s="3"/>
      </tp>
      <tp>
        <v>3</v>
        <stp/>
        <stp>12267711630185759080</stp>
        <stp>CTQ</stp>
        <tr r="J11" s="8"/>
        <tr r="G11" s="8"/>
      </tp>
      <tp t="s">
        <v>"services.rtd.subscriptionError"</v>
        <stp/>
        <stp>16444027228601244617</stp>
        <stp>CTQ</stp>
        <tr r="J18" s="5"/>
        <tr r="G18" s="5"/>
      </tp>
      <tp t="s">
        <v>"services.rtd.subscriptionError"</v>
        <stp/>
        <stp>13124315370012665646</stp>
        <stp>CTQ</stp>
        <tr r="J9" s="5"/>
        <tr r="G9" s="5"/>
      </tp>
      <tp t="s">
        <v>"services.rtd.subscriptionError"</v>
        <stp/>
        <stp>16203147123713749534</stp>
        <stp>CTQ</stp>
        <tr r="J12" s="6"/>
        <tr r="G12" s="6"/>
      </tp>
      <tp>
        <v>148</v>
        <stp/>
        <stp>13208077381270415860</stp>
        <stp>CTQ</stp>
        <tr r="J9" s="7"/>
        <tr r="G9" s="7"/>
      </tp>
      <tp t="s">
        <v>"services.rtd.subscriptionError"</v>
        <stp/>
        <stp>12651832782987310492</stp>
        <stp>Ask</stp>
        <tr r="D7" s="13"/>
      </tp>
      <tp t="s">
        <v>"services.rtd.subscriptionError"</v>
        <stp/>
        <stp>12062554666991936143</stp>
        <stp>Ask</stp>
        <tr r="D9" s="10"/>
      </tp>
      <tp t="s">
        <v>97.6800</v>
        <stp/>
        <stp>11607487364946020404</stp>
        <stp>Ask</stp>
        <tr r="D4" s="9"/>
      </tp>
      <tp t="s">
        <v>98.0650</v>
        <stp/>
        <stp>16193655064494849323</stp>
        <stp>Ask</stp>
        <tr r="D3" s="10"/>
      </tp>
      <tp t="s">
        <v>96.060</v>
        <stp/>
        <stp>11432813735419224277</stp>
        <stp>Ask</stp>
        <tr r="D16" s="3"/>
      </tp>
      <tp t="s">
        <v>"services.rtd.subscriptionError"</v>
        <stp/>
        <stp>10152022727750786343</stp>
        <stp>Ask</stp>
        <tr r="D5" s="11"/>
      </tp>
      <tp t="s">
        <v>"services.rtd.subscriptionError"</v>
        <stp/>
        <stp>15764738434942585223</stp>
        <stp>Ask</stp>
        <tr r="D24" s="5"/>
      </tp>
      <tp t="s">
        <v>"services.rtd.subscriptionError"</v>
        <stp/>
        <stp>14895182341839773964</stp>
        <stp>Ask</stp>
        <tr r="D22" s="5"/>
      </tp>
      <tp t="s">
        <v>96.410</v>
        <stp/>
        <stp>17580263644204615428</stp>
        <stp>Ask</stp>
        <tr r="D4" s="8"/>
      </tp>
      <tp t="s">
        <v>96.3700</v>
        <stp/>
        <stp>13509294969420576563</stp>
        <stp>Bid</stp>
        <tr r="E3" s="7"/>
      </tp>
      <tp t="s">
        <v>"services.rtd.subscriptionError"</v>
        <stp/>
        <stp>18341350720628559368</stp>
        <stp>Bid</stp>
        <tr r="E9" s="6"/>
      </tp>
      <tp t="s">
        <v>"services.rtd.subscriptionError"</v>
        <stp/>
        <stp>12197960486633385234</stp>
        <stp>Bid</stp>
        <tr r="E12" s="11"/>
      </tp>
      <tp t="s">
        <v>"services.rtd.subscriptionError"</v>
        <stp/>
        <stp>16839673253147663046</stp>
        <stp>Bid</stp>
        <tr r="E23" s="6"/>
      </tp>
      <tp t="s">
        <v>96.120</v>
        <stp/>
        <stp>11729320422875922731</stp>
        <stp>Bid</stp>
        <tr r="E18" s="7"/>
      </tp>
      <tp t="s">
        <v>95.915</v>
        <stp/>
        <stp>13762141828290349231</stp>
        <stp>Bid</stp>
        <tr r="E21" s="3"/>
      </tp>
      <tp>
        <v>1</v>
        <stp/>
        <stp>13762141828290349231</stp>
        <stp>CTQ</stp>
        <tr r="G21" s="3"/>
        <tr r="J21" s="3"/>
      </tp>
      <tp t="s">
        <v>"services.rtd.subscriptionError"</v>
        <stp/>
        <stp>16839673253147663046</stp>
        <stp>CTQ</stp>
        <tr r="G23" s="6"/>
        <tr r="J23" s="6"/>
      </tp>
      <tp>
        <v>1</v>
        <stp/>
        <stp>11729320422875922731</stp>
        <stp>CTQ</stp>
        <tr r="J18" s="7"/>
        <tr r="G18" s="7"/>
      </tp>
      <tp t="s">
        <v>"services.rtd.subscriptionError"</v>
        <stp/>
        <stp>12197960486633385234</stp>
        <stp>CTQ</stp>
        <tr r="J12" s="11"/>
        <tr r="G12" s="11"/>
      </tp>
      <tp>
        <v>4804</v>
        <stp/>
        <stp>13509294969420576563</stp>
        <stp>CTQ</stp>
        <tr r="J3" s="7"/>
        <tr r="G3" s="7"/>
      </tp>
      <tp t="s">
        <v>"services.rtd.subscriptionError"</v>
        <stp/>
        <stp>18341350720628559368</stp>
        <stp>CTQ</stp>
        <tr r="J9" s="6"/>
        <tr r="G9" s="6"/>
      </tp>
      <tp t="s">
        <v>96.290</v>
        <stp/>
        <stp>10056698436755136015</stp>
        <stp>Ask</stp>
        <tr r="D5" s="3"/>
      </tp>
      <tp t="s">
        <v>"services.rtd.subscriptionError"</v>
        <stp/>
        <stp>17887834827094596965</stp>
        <stp>Ask</stp>
        <tr r="D4" s="10"/>
      </tp>
      <tp t="s">
        <v>96.115</v>
        <stp/>
        <stp>13003456520956211336</stp>
        <stp>Ask</stp>
        <tr r="D15" s="8"/>
      </tp>
      <tp t="s">
        <v>N/A</v>
        <stp/>
        <stp>10475581751236764690</stp>
        <stp>Ask</stp>
        <tr r="D23" s="8"/>
      </tp>
      <tp t="s">
        <v>96.315</v>
        <stp/>
        <stp>13208077381270415860</stp>
        <stp>Bid</stp>
        <tr r="E9" s="7"/>
      </tp>
      <tp t="s">
        <v>"services.rtd.subscriptionError"</v>
        <stp/>
        <stp>13124315370012665646</stp>
        <stp>Bid</stp>
        <tr r="E9" s="5"/>
      </tp>
      <tp t="s">
        <v>"services.rtd.subscriptionError"</v>
        <stp/>
        <stp>16203147123713749534</stp>
        <stp>Bid</stp>
        <tr r="E12" s="6"/>
      </tp>
      <tp t="s">
        <v>95.980</v>
        <stp/>
        <stp>11906745505255579027</stp>
        <stp>Bid</stp>
        <tr r="E19" s="3"/>
      </tp>
      <tp t="s">
        <v>"services.rtd.subscriptionError"</v>
        <stp/>
        <stp>16444027228601244617</stp>
        <stp>Bid</stp>
        <tr r="E18" s="5"/>
      </tp>
      <tp t="s">
        <v>96.215</v>
        <stp/>
        <stp>12267711630185759080</stp>
        <stp>Bid</stp>
        <tr r="E11" s="8"/>
      </tp>
      <tp t="s">
        <v>96.010</v>
        <stp/>
        <stp>12350987571259131621</stp>
        <stp>Bid</stp>
        <tr r="E18" s="3"/>
      </tp>
      <tp>
        <v>26</v>
        <stp/>
        <stp>11607487364946020404</stp>
        <stp>CTQ</stp>
        <tr r="J4" s="9"/>
        <tr r="G4" s="9"/>
      </tp>
      <tp>
        <v>12</v>
        <stp/>
        <stp>16193655064494849323</stp>
        <stp>CTQ</stp>
        <tr r="J3" s="10"/>
        <tr r="G3" s="10"/>
      </tp>
      <tp t="s">
        <v>"services.rtd.subscriptionError"</v>
        <stp/>
        <stp>12062554666991936143</stp>
        <stp>CTQ</stp>
        <tr r="G9" s="10"/>
        <tr r="J9" s="10"/>
      </tp>
      <tp t="s">
        <v>"services.rtd.subscriptionError"</v>
        <stp/>
        <stp>12651832782987310492</stp>
        <stp>CTQ</stp>
        <tr r="G7" s="13"/>
        <tr r="J7" s="13"/>
      </tp>
      <tp>
        <v>15</v>
        <stp/>
        <stp>17580263644204615428</stp>
        <stp>CTQ</stp>
        <tr r="J4" s="8"/>
        <tr r="G4" s="8"/>
      </tp>
      <tp t="s">
        <v>"services.rtd.subscriptionError"</v>
        <stp/>
        <stp>14895182341839773964</stp>
        <stp>CTQ</stp>
        <tr r="G22" s="5"/>
        <tr r="J22" s="5"/>
      </tp>
      <tp t="s">
        <v>"services.rtd.subscriptionError"</v>
        <stp/>
        <stp>10152022727750786343</stp>
        <stp>CTQ</stp>
        <tr r="J5" s="11"/>
        <tr r="G5" s="11"/>
      </tp>
      <tp t="s">
        <v>"services.rtd.subscriptionError"</v>
        <stp/>
        <stp>15764738434942585223</stp>
        <stp>CTQ</stp>
        <tr r="G24" s="5"/>
        <tr r="J24" s="5"/>
      </tp>
      <tp>
        <v>4</v>
        <stp/>
        <stp>11432813735419224277</stp>
        <stp>CTQ</stp>
        <tr r="G16" s="3"/>
        <tr r="J16" s="3"/>
      </tp>
      <tp t="s">
        <v>"services.rtd.subscriptionError"</v>
        <stp/>
        <stp>16444027228601244617</stp>
        <stp>Ask</stp>
        <tr r="D18" s="5"/>
      </tp>
      <tp t="s">
        <v>96.225</v>
        <stp/>
        <stp>12267711630185759080</stp>
        <stp>Ask</stp>
        <tr r="D11" s="8"/>
      </tp>
      <tp t="s">
        <v>95.985</v>
        <stp/>
        <stp>11906745505255579027</stp>
        <stp>Ask</stp>
        <tr r="D19" s="3"/>
      </tp>
      <tp t="s">
        <v>96.015</v>
        <stp/>
        <stp>12350987571259131621</stp>
        <stp>Ask</stp>
        <tr r="D18" s="3"/>
      </tp>
      <tp t="s">
        <v>96.320</v>
        <stp/>
        <stp>13208077381270415860</stp>
        <stp>Ask</stp>
        <tr r="D9" s="7"/>
      </tp>
      <tp t="s">
        <v>"services.rtd.subscriptionError"</v>
        <stp/>
        <stp>16203147123713749534</stp>
        <stp>Ask</stp>
        <tr r="D12" s="6"/>
      </tp>
      <tp t="s">
        <v>"services.rtd.subscriptionError"</v>
        <stp/>
        <stp>13124315370012665646</stp>
        <stp>Ask</stp>
        <tr r="D9" s="5"/>
      </tp>
      <tp t="s">
        <v>96.100</v>
        <stp/>
        <stp>13003456520956211336</stp>
        <stp>Bid</stp>
        <tr r="E15" s="8"/>
      </tp>
      <tp t="s">
        <v>N/A</v>
        <stp/>
        <stp>10475581751236764690</stp>
        <stp>Bid</stp>
        <tr r="E23" s="8"/>
      </tp>
      <tp t="s">
        <v>"services.rtd.subscriptionError"</v>
        <stp/>
        <stp>17887834827094596965</stp>
        <stp>Bid</stp>
        <tr r="E4" s="10"/>
      </tp>
      <tp t="s">
        <v>96.285</v>
        <stp/>
        <stp>10056698436755136015</stp>
        <stp>Bid</stp>
        <tr r="E5" s="3"/>
      </tp>
      <tp t="s">
        <v>"services.rtd.subscriptionError"</v>
        <stp/>
        <stp>17887834827094596965</stp>
        <stp>CTQ</stp>
        <tr r="G4" s="10"/>
        <tr r="J4" s="10"/>
      </tp>
      <tp>
        <v>43</v>
        <stp/>
        <stp>10056698436755136015</stp>
        <stp>CTQ</stp>
        <tr r="G5" s="3"/>
        <tr r="J5" s="3"/>
      </tp>
      <tp>
        <v>0</v>
        <stp/>
        <stp>10475581751236764690</stp>
        <stp>CTQ</stp>
        <tr r="J23" s="8"/>
        <tr r="G23" s="8"/>
      </tp>
      <tp>
        <v>4</v>
        <stp/>
        <stp>13003456520956211336</stp>
        <stp>CTQ</stp>
        <tr r="G15" s="8"/>
        <tr r="J15" s="8"/>
      </tp>
      <tp t="s">
        <v>96.130</v>
        <stp/>
        <stp>11729320422875922731</stp>
        <stp>Ask</stp>
        <tr r="D18" s="7"/>
      </tp>
      <tp t="s">
        <v>"services.rtd.subscriptionError"</v>
        <stp/>
        <stp>16839673253147663046</stp>
        <stp>Ask</stp>
        <tr r="D23" s="6"/>
      </tp>
      <tp t="s">
        <v>95.920</v>
        <stp/>
        <stp>13762141828290349231</stp>
        <stp>Ask</stp>
        <tr r="D21" s="3"/>
      </tp>
      <tp t="s">
        <v>"services.rtd.subscriptionError"</v>
        <stp/>
        <stp>18341350720628559368</stp>
        <stp>Ask</stp>
        <tr r="D9" s="6"/>
      </tp>
      <tp t="s">
        <v>96.3725</v>
        <stp/>
        <stp>13509294969420576563</stp>
        <stp>Ask</stp>
        <tr r="D3" s="7"/>
      </tp>
      <tp t="s">
        <v>"services.rtd.subscriptionError"</v>
        <stp/>
        <stp>12197960486633385234</stp>
        <stp>Ask</stp>
        <tr r="D12" s="11"/>
      </tp>
      <tp t="s">
        <v>"services.rtd.subscriptionError"</v>
        <stp/>
        <stp>15764738434942585223</stp>
        <stp>Bid</stp>
        <tr r="E24" s="5"/>
      </tp>
      <tp t="s">
        <v>"services.rtd.subscriptionError"</v>
        <stp/>
        <stp>10152022727750786343</stp>
        <stp>Bid</stp>
        <tr r="E5" s="11"/>
      </tp>
      <tp t="s">
        <v>96.055</v>
        <stp/>
        <stp>11432813735419224277</stp>
        <stp>Bid</stp>
        <tr r="E16" s="3"/>
      </tp>
      <tp t="s">
        <v>96.405</v>
        <stp/>
        <stp>17580263644204615428</stp>
        <stp>Bid</stp>
        <tr r="E4" s="8"/>
      </tp>
      <tp t="s">
        <v>"services.rtd.subscriptionError"</v>
        <stp/>
        <stp>14895182341839773964</stp>
        <stp>Bid</stp>
        <tr r="E22" s="5"/>
      </tp>
      <tp t="s">
        <v>"services.rtd.subscriptionError"</v>
        <stp/>
        <stp>12062554666991936143</stp>
        <stp>Bid</stp>
        <tr r="E9" s="10"/>
      </tp>
      <tp t="s">
        <v>"services.rtd.subscriptionError"</v>
        <stp/>
        <stp>12651832782987310492</stp>
        <stp>Bid</stp>
        <tr r="E7" s="13"/>
      </tp>
      <tp t="s">
        <v>98.0625</v>
        <stp/>
        <stp>16193655064494849323</stp>
        <stp>Bid</stp>
        <tr r="E3" s="10"/>
      </tp>
      <tp t="s">
        <v>97.6750</v>
        <stp/>
        <stp>11607487364946020404</stp>
        <stp>Bid</stp>
        <tr r="E4" s="9"/>
      </tp>
      <tp t="s">
        <v>"services.rtd.subscriptionError"</v>
        <stp/>
        <stp>17388498933531365606</stp>
        <stp>CTQ</stp>
        <tr r="G4" s="5"/>
        <tr r="J4" s="5"/>
      </tp>
      <tp t="s">
        <v/>
        <stp/>
        <stp>15982701712321206525</stp>
        <stp>CTQ</stp>
        <tr r="G18" s="8"/>
        <tr r="J18" s="8"/>
      </tp>
      <tp>
        <v>90</v>
        <stp/>
        <stp>10341135123007474384</stp>
        <stp>CTQ</stp>
        <tr r="J12" s="9"/>
        <tr r="G12" s="9"/>
      </tp>
      <tp t="s">
        <v>"services.rtd.subscriptionError"</v>
        <stp/>
        <stp>14330867541177216896</stp>
        <stp>CTQ</stp>
        <tr r="G5" s="5"/>
        <tr r="J5" s="5"/>
      </tp>
      <tp t="s">
        <v>"services.rtd.subscriptionError"</v>
        <stp/>
        <stp>18015794537179585282</stp>
        <stp>CTQ</stp>
        <tr r="J20" s="10"/>
        <tr r="G20" s="10"/>
      </tp>
      <tp t="s">
        <v>"services.rtd.subscriptionError"</v>
        <stp/>
        <stp>12215144550695335695</stp>
        <stp>Ask</stp>
        <tr r="D11" s="10"/>
      </tp>
      <tp t="s">
        <v>96.175</v>
        <stp/>
        <stp>11368534221547994415</stp>
        <stp>Ask</stp>
        <tr r="D13" s="8"/>
      </tp>
      <tp t="s">
        <v>96.085</v>
        <stp/>
        <stp>10582686653072545408</stp>
        <stp>Ask</stp>
        <tr r="D9" s="3"/>
      </tp>
      <tp t="s">
        <v>96.7600</v>
        <stp/>
        <stp>15227833694171614065</stp>
        <stp>Ask</stp>
        <tr r="D14" s="9"/>
      </tp>
      <tp t="s">
        <v>96.145</v>
        <stp/>
        <stp>12741923103719175711</stp>
        <stp>Ask</stp>
        <tr r="D12" s="3"/>
      </tp>
      <tp t="s">
        <v>"services.rtd.subscriptionError"</v>
        <stp/>
        <stp>17489439929274896309</stp>
        <stp>Bid</stp>
        <tr r="E8" s="5"/>
      </tp>
      <tp t="s">
        <v>96.380</v>
        <stp/>
        <stp>11804036294809825783</stp>
        <stp>Bid</stp>
        <tr r="E5" s="7"/>
      </tp>
      <tp t="s">
        <v>"services.rtd.subscriptionError"</v>
        <stp/>
        <stp>14714678855879803828</stp>
        <stp>Bid</stp>
        <tr r="E3" s="11"/>
      </tp>
      <tp t="s">
        <v>"services.rtd.subscriptionError"</v>
        <stp/>
        <stp>13181973989553924789</stp>
        <stp>Bid</stp>
        <tr r="E13" s="6"/>
      </tp>
      <tp t="s">
        <v>"services.rtd.subscriptionError"</v>
        <stp/>
        <stp>13181973989553924789</stp>
        <stp>CTQ</stp>
        <tr r="J13" s="6"/>
        <tr r="G13" s="6"/>
      </tp>
      <tp t="s">
        <v>"services.rtd.subscriptionError"</v>
        <stp/>
        <stp>14714678855879803828</stp>
        <stp>CTQ</stp>
        <tr r="J3" s="11"/>
        <tr r="G3" s="11"/>
      </tp>
      <tp>
        <v>3321</v>
        <stp/>
        <stp>11804036294809825783</stp>
        <stp>CTQ</stp>
        <tr r="G5" s="7"/>
        <tr r="J5" s="7"/>
      </tp>
      <tp t="s">
        <v>"services.rtd.subscriptionError"</v>
        <stp/>
        <stp>17489439929274896309</stp>
        <stp>CTQ</stp>
        <tr r="G8" s="5"/>
        <tr r="J8" s="5"/>
      </tp>
      <tp t="s">
        <v>95.695</v>
        <stp/>
        <stp>11954488268734512343</stp>
        <stp>Ask</stp>
        <tr r="D27" s="3"/>
      </tp>
      <tp t="s">
        <v>"services.rtd.subscriptionError"</v>
        <stp/>
        <stp>13942165873650377178</stp>
        <stp>Ask</stp>
        <tr r="D5" s="10"/>
      </tp>
      <tp t="s">
        <v>"services.rtd.subscriptionError"</v>
        <stp/>
        <stp>17983703097809095440</stp>
        <stp>Ask</stp>
        <tr r="D17" s="6"/>
      </tp>
      <tp t="s">
        <v>"services.rtd.subscriptionError"</v>
        <stp/>
        <stp>15117311257991458693</stp>
        <stp>Ask</stp>
        <tr r="D16" s="11"/>
      </tp>
      <tp t="s">
        <v>"services.rtd.subscriptionError"</v>
        <stp/>
        <stp>13656323332417174028</stp>
        <stp>Ask</stp>
        <tr r="D16" s="5"/>
      </tp>
      <tp t="s">
        <v>96.320</v>
        <stp/>
        <stp>11434035541700322135</stp>
        <stp>Ask</stp>
        <tr r="D8" s="8"/>
      </tp>
      <tp t="s">
        <v>"services.rtd.subscriptionError"</v>
        <stp/>
        <stp>11911434118028235803</stp>
        <stp>Ask</stp>
        <tr r="D26" s="6"/>
      </tp>
      <tp t="s">
        <v>"services.rtd.subscriptionError"</v>
        <stp/>
        <stp>12777480240935901350</stp>
        <stp>Ask</stp>
        <tr r="D7" s="5"/>
      </tp>
      <tp t="s">
        <v>"services.rtd.subscriptionError"</v>
        <stp/>
        <stp>18015794537179585282</stp>
        <stp>Bid</stp>
        <tr r="E20" s="10"/>
      </tp>
      <tp t="s">
        <v>96.7650</v>
        <stp/>
        <stp>10341135123007474384</stp>
        <stp>Bid</stp>
        <tr r="E12" s="9"/>
      </tp>
      <tp t="s">
        <v>"services.rtd.subscriptionError"</v>
        <stp/>
        <stp>14330867541177216896</stp>
        <stp>Bid</stp>
        <tr r="E5" s="5"/>
      </tp>
      <tp t="s">
        <v>96.075</v>
        <stp/>
        <stp>15982701712321206525</stp>
        <stp>Bid</stp>
        <tr r="E18" s="8"/>
      </tp>
      <tp t="s">
        <v>"services.rtd.subscriptionError"</v>
        <stp/>
        <stp>17388498933531365606</stp>
        <stp>Bid</stp>
        <tr r="E4" s="5"/>
      </tp>
      <tp>
        <v>42</v>
        <stp/>
        <stp>10582686653072545408</stp>
        <stp>CTQ</stp>
        <tr r="J9" s="3"/>
        <tr r="G9" s="3"/>
      </tp>
      <tp>
        <v>2</v>
        <stp/>
        <stp>11368534221547994415</stp>
        <stp>CTQ</stp>
        <tr r="J13" s="8"/>
        <tr r="G13" s="8"/>
      </tp>
      <tp t="s">
        <v>"services.rtd.subscriptionError"</v>
        <stp/>
        <stp>12215144550695335695</stp>
        <stp>CTQ</stp>
        <tr r="J11" s="10"/>
        <tr r="G11" s="10"/>
      </tp>
      <tp>
        <v>143</v>
        <stp/>
        <stp>12741923103719175711</stp>
        <stp>CTQ</stp>
        <tr r="G12" s="3"/>
        <tr r="J12" s="3"/>
      </tp>
      <tp>
        <v>9</v>
        <stp/>
        <stp>15227833694171614065</stp>
        <stp>CTQ</stp>
        <tr r="G14" s="9"/>
        <tr r="J14" s="9"/>
      </tp>
      <tp t="s">
        <v>96.7700</v>
        <stp/>
        <stp>10341135123007474384</stp>
        <stp>Ask</stp>
        <tr r="D12" s="9"/>
      </tp>
      <tp t="s">
        <v>"services.rtd.subscriptionError"</v>
        <stp/>
        <stp>14330867541177216896</stp>
        <stp>Ask</stp>
        <tr r="D5" s="5"/>
      </tp>
      <tp t="s">
        <v>96.115</v>
        <stp/>
        <stp>15982701712321206525</stp>
        <stp>Ask</stp>
        <tr r="D18" s="8"/>
      </tp>
      <tp t="s">
        <v>"services.rtd.subscriptionError"</v>
        <stp/>
        <stp>17388498933531365606</stp>
        <stp>Ask</stp>
        <tr r="D4" s="5"/>
      </tp>
      <tp t="s">
        <v>"services.rtd.subscriptionError"</v>
        <stp/>
        <stp>18015794537179585282</stp>
        <stp>Ask</stp>
        <tr r="D20" s="10"/>
      </tp>
      <tp t="s">
        <v>96.315</v>
        <stp/>
        <stp>11434035541700322135</stp>
        <stp>Bid</stp>
        <tr r="E8" s="8"/>
      </tp>
      <tp t="s">
        <v>"services.rtd.subscriptionError"</v>
        <stp/>
        <stp>13656323332417174028</stp>
        <stp>Bid</stp>
        <tr r="E16" s="5"/>
      </tp>
      <tp t="s">
        <v>"services.rtd.subscriptionError"</v>
        <stp/>
        <stp>12777480240935901350</stp>
        <stp>Bid</stp>
        <tr r="E7" s="5"/>
      </tp>
      <tp t="s">
        <v>"services.rtd.subscriptionError"</v>
        <stp/>
        <stp>11911434118028235803</stp>
        <stp>Bid</stp>
        <tr r="E26" s="6"/>
      </tp>
      <tp t="s">
        <v>"services.rtd.subscriptionError"</v>
        <stp/>
        <stp>15117311257991458693</stp>
        <stp>Bid</stp>
        <tr r="E16" s="11"/>
      </tp>
      <tp t="s">
        <v>"services.rtd.subscriptionError"</v>
        <stp/>
        <stp>17983703097809095440</stp>
        <stp>Bid</stp>
        <tr r="E17" s="6"/>
      </tp>
      <tp t="s">
        <v>95.655</v>
        <stp/>
        <stp>11954488268734512343</stp>
        <stp>Bid</stp>
        <tr r="E27" s="3"/>
      </tp>
      <tp t="s">
        <v>"services.rtd.subscriptionError"</v>
        <stp/>
        <stp>13942165873650377178</stp>
        <stp>Bid</stp>
        <tr r="E5" s="10"/>
      </tp>
      <tp t="s">
        <v>"services.rtd.subscriptionError"</v>
        <stp/>
        <stp>17983703097809095440</stp>
        <stp>CTQ</stp>
        <tr r="G17" s="6"/>
        <tr r="J17" s="6"/>
      </tp>
      <tp t="s">
        <v>"services.rtd.subscriptionError"</v>
        <stp/>
        <stp>15117311257991458693</stp>
        <stp>CTQ</stp>
        <tr r="G16" s="11"/>
        <tr r="J16" s="11"/>
      </tp>
      <tp>
        <v>4</v>
        <stp/>
        <stp>11954488268734512343</stp>
        <stp>CTQ</stp>
        <tr r="G27" s="3"/>
        <tr r="J27" s="3"/>
      </tp>
      <tp t="s">
        <v>"services.rtd.subscriptionError"</v>
        <stp/>
        <stp>13942165873650377178</stp>
        <stp>CTQ</stp>
        <tr r="G5" s="10"/>
        <tr r="J5" s="10"/>
      </tp>
    </main>
    <main first="tt.rtd">
      <tp t="s">
        <v>"services.rtd.subscriptionError"</v>
        <stp/>
        <stp>12777480240935901350</stp>
        <stp>CTQ</stp>
        <tr r="G7" s="5"/>
        <tr r="J7" s="5"/>
      </tp>
      <tp t="s">
        <v>"services.rtd.subscriptionError"</v>
        <stp/>
        <stp>11911434118028235803</stp>
        <stp>CTQ</stp>
        <tr r="J26" s="6"/>
        <tr r="G26" s="6"/>
      </tp>
      <tp>
        <v>156</v>
        <stp/>
        <stp>11434035541700322135</stp>
        <stp>CTQ</stp>
        <tr r="G8" s="8"/>
        <tr r="J8" s="8"/>
      </tp>
      <tp t="s">
        <v>"services.rtd.subscriptionError"</v>
        <stp/>
        <stp>13656323332417174028</stp>
        <stp>CTQ</stp>
        <tr r="G16" s="5"/>
        <tr r="J16" s="5"/>
      </tp>
    </main>
    <main first="tt.rtd">
      <tp t="s">
        <v>"services.rtd.subscriptionError"</v>
        <stp/>
        <stp>14714678855879803828</stp>
        <stp>Ask</stp>
        <tr r="D3" s="11"/>
      </tp>
      <tp t="s">
        <v>96.385</v>
        <stp/>
        <stp>11804036294809825783</stp>
        <stp>Ask</stp>
        <tr r="D5" s="7"/>
      </tp>
      <tp t="s">
        <v>"services.rtd.subscriptionError"</v>
        <stp/>
        <stp>13181973989553924789</stp>
        <stp>Ask</stp>
        <tr r="D13" s="6"/>
      </tp>
      <tp t="s">
        <v>"services.rtd.subscriptionError"</v>
        <stp/>
        <stp>17489439929274896309</stp>
        <stp>Ask</stp>
        <tr r="D8" s="5"/>
      </tp>
      <tp t="s">
        <v>96.140</v>
        <stp/>
        <stp>12741923103719175711</stp>
        <stp>Bid</stp>
        <tr r="E12" s="3"/>
      </tp>
      <tp t="s">
        <v>96.7500</v>
        <stp/>
        <stp>15227833694171614065</stp>
        <stp>Bid</stp>
        <tr r="E14" s="9"/>
      </tp>
      <tp t="s">
        <v>"services.rtd.subscriptionError"</v>
        <stp/>
        <stp>12215144550695335695</stp>
        <stp>Bid</stp>
        <tr r="E11" s="10"/>
      </tp>
      <tp t="s">
        <v>96.080</v>
        <stp/>
        <stp>10582686653072545408</stp>
        <stp>Bid</stp>
        <tr r="E9" s="3"/>
      </tp>
      <tp t="s">
        <v>96.165</v>
        <stp/>
        <stp>11368534221547994415</stp>
        <stp>Bid</stp>
        <tr r="E13" s="8"/>
      </tp>
      <tp t="s">
        <v>"Invalid instrument"</v>
        <stp/>
        <stp>Instr</stp>
        <stp>CFE</stp>
        <stp>VX</stp>
        <stp>FUTURE</stp>
        <stp>Mar27</stp>
        <stp>Bid</stp>
        <tr r="E12" s="14"/>
      </tp>
      <tp>
        <v>0</v>
        <stp/>
        <stp>10620117733411968864</stp>
        <stp>CTQ</stp>
        <tr r="J21" s="7"/>
        <tr r="G21" s="7"/>
      </tp>
    </main>
    <main first="tt.rtd">
      <tp>
        <v>3</v>
        <stp/>
        <stp>17587746350868461658</stp>
        <stp>CTQ</stp>
        <tr r="G17" s="8"/>
        <tr r="J17" s="8"/>
      </tp>
      <tp t="s">
        <v>"services.rtd.subscriptionError"</v>
        <stp/>
        <stp>12203053644589187435</stp>
        <stp>CTQ</stp>
        <tr r="J13" s="11"/>
        <tr r="G13" s="11"/>
      </tp>
      <tp t="s">
        <v>"services.rtd.subscriptionError"</v>
        <stp/>
        <stp>15474919503937410045</stp>
        <stp>CTQ</stp>
        <tr r="G17" s="5"/>
        <tr r="J17" s="5"/>
      </tp>
    </main>
    <main first="tt.rtd">
      <tp t="s">
        <v>"services.rtd.subscriptionError"</v>
        <stp/>
        <stp>17711323309675939815</stp>
        <stp>Ask</stp>
        <tr r="D16" s="10"/>
      </tp>
      <tp t="s">
        <v>"services.rtd.subscriptionError"</v>
        <stp/>
        <stp>17097660282758551869</stp>
        <stp>Ask</stp>
        <tr r="D4" s="12"/>
      </tp>
      <tp t="s">
        <v>N/A</v>
        <stp/>
        <stp>12003865359272718488</stp>
        <stp>Ask</stp>
        <tr r="D22" s="8"/>
      </tp>
      <tp t="s">
        <v>"services.rtd.subscriptionError"</v>
        <stp/>
        <stp>13485638123576588832</stp>
        <stp>Ask</stp>
        <tr r="D24" s="6"/>
      </tp>
      <tp t="s">
        <v>"services.rtd.subscriptionError"</v>
        <stp/>
        <stp>12802673068039550141</stp>
        <stp>Bid</stp>
        <tr r="E14" s="5"/>
      </tp>
      <tp t="s">
        <v>"services.rtd.subscriptionError"</v>
        <stp/>
        <stp>18071176284543341830</stp>
        <stp>Bid</stp>
        <tr r="E18" s="11"/>
      </tp>
      <tp t="s">
        <v>96.255</v>
        <stp/>
        <stp>10173148798524565647</stp>
        <stp>Bid</stp>
        <tr r="E11" s="7"/>
      </tp>
      <tp t="s">
        <v>96.8100</v>
        <stp/>
        <stp>14449049893797955023</stp>
        <stp>Bid</stp>
        <tr r="E10" s="9"/>
      </tp>
      <tp t="s">
        <v>"services.rtd.subscriptionError"</v>
        <stp/>
        <stp>16790086843721301972</stp>
        <stp>Bid</stp>
        <tr r="E4" s="13"/>
      </tp>
      <tp t="s">
        <v>22.400</v>
        <stp/>
        <stp>Instr</stp>
        <stp>CFE</stp>
        <stp>VX</stp>
        <stp>FUTURE</stp>
        <stp>Sep26</stp>
        <stp>Ask</stp>
        <tr r="D6" s="14"/>
      </tp>
      <tp t="s">
        <v>22.75</v>
        <stp/>
        <stp>Instr</stp>
        <stp>Eurex</stp>
        <stp>FVS</stp>
        <stp>FUTURE</stp>
        <stp>Sep26</stp>
        <stp>Ask</stp>
        <tr r="D6" s="15"/>
      </tp>
      <tp t="s">
        <v>"Invalid instrument"</v>
        <stp/>
        <stp>Instr</stp>
        <stp>CFE</stp>
        <stp>VX</stp>
        <stp>FUTURE</stp>
        <stp>Mar27</stp>
        <stp>CTQ</stp>
        <tr r="G12" s="14"/>
        <tr r="J12" s="14"/>
      </tp>
      <tp t="s">
        <v>"services.rtd.subscriptionError"</v>
        <stp/>
        <stp>16790086843721301972</stp>
        <stp>CTQ</stp>
        <tr r="J4" s="13"/>
        <tr r="G4" s="13"/>
      </tp>
      <tp>
        <v>93</v>
        <stp/>
        <stp>14449049893797955023</stp>
        <stp>CTQ</stp>
        <tr r="G10" s="9"/>
        <tr r="J10" s="9"/>
      </tp>
      <tp>
        <v>31</v>
        <stp/>
        <stp>10173148798524565647</stp>
        <stp>CTQ</stp>
        <tr r="G11" s="7"/>
        <tr r="J11" s="7"/>
      </tp>
      <tp t="s">
        <v>"services.rtd.subscriptionError"</v>
        <stp/>
        <stp>18071176284543341830</stp>
        <stp>CTQ</stp>
        <tr r="J18" s="11"/>
        <tr r="G18" s="11"/>
      </tp>
      <tp t="s">
        <v>"services.rtd.subscriptionError"</v>
        <stp/>
        <stp>12802673068039550141</stp>
        <stp>CTQ</stp>
        <tr r="J14" s="5"/>
        <tr r="G14" s="5"/>
      </tp>
      <tp t="s">
        <v>"services.rtd.subscriptionError"</v>
        <stp/>
        <stp>13553073652848841644</stp>
        <stp>Ask</stp>
        <tr r="D13" s="5"/>
      </tp>
      <tp t="s">
        <v>"services.rtd.subscriptionError"</v>
        <stp/>
        <stp>12146542221589140494</stp>
        <stp>Ask</stp>
        <tr r="D10" s="11"/>
      </tp>
      <tp t="s">
        <v>96.8350</v>
        <stp/>
        <stp>15050487581241061067</stp>
        <stp>Ask</stp>
        <tr r="D9" s="9"/>
      </tp>
      <tp t="s">
        <v>96.275</v>
        <stp/>
        <stp>14618707670258439481</stp>
        <stp>Ask</stp>
        <tr r="D10" s="7"/>
      </tp>
      <tp t="s">
        <v>"services.rtd.subscriptionError"</v>
        <stp/>
        <stp>14401575330262518877</stp>
        <stp>Ask</stp>
        <tr r="D14" s="11"/>
      </tp>
      <tp t="s">
        <v>96.200</v>
        <stp/>
        <stp>11818438006115878869</stp>
        <stp>Ask</stp>
        <tr r="D12" s="8"/>
      </tp>
      <tp t="s">
        <v>"services.rtd.subscriptionError"</v>
        <stp/>
        <stp>10290150595504250421</stp>
        <stp>Ask</stp>
        <tr r="D8" s="6"/>
      </tp>
      <tp t="s">
        <v>"services.rtd.subscriptionError"</v>
        <stp/>
        <stp>15474919503937410045</stp>
        <stp>Bid</stp>
        <tr r="E17" s="5"/>
      </tp>
      <tp t="s">
        <v>"services.rtd.subscriptionError"</v>
        <stp/>
        <stp>12203053644589187435</stp>
        <stp>Bid</stp>
        <tr r="E13" s="11"/>
      </tp>
      <tp t="s">
        <v>96.085</v>
        <stp/>
        <stp>17587746350868461658</stp>
        <stp>Bid</stp>
        <tr r="E17" s="8"/>
      </tp>
      <tp t="s">
        <v>95.950</v>
        <stp/>
        <stp>10620117733411968864</stp>
        <stp>Bid</stp>
        <tr r="E21" s="7"/>
      </tp>
      <tp t="s">
        <v>22.350</v>
        <stp/>
        <stp>Instr</stp>
        <stp>CFE</stp>
        <stp>VX</stp>
        <stp>FUTURE</stp>
        <stp>Sep26</stp>
        <stp>Bid</stp>
        <tr r="E6" s="14"/>
      </tp>
      <tp t="s">
        <v>22.70</v>
        <stp/>
        <stp>Instr</stp>
        <stp>Eurex</stp>
        <stp>FVS</stp>
        <stp>FUTURE</stp>
        <stp>Sep26</stp>
        <stp>Bid</stp>
        <tr r="E6" s="15"/>
      </tp>
      <tp t="s">
        <v>"services.rtd.subscriptionError"</v>
        <stp/>
        <stp>13485638123576588832</stp>
        <stp>CTQ</stp>
        <tr r="J24" s="6"/>
        <tr r="G24" s="6"/>
      </tp>
    </main>
    <main first="tt.rtd">
      <tp>
        <v>0</v>
        <stp/>
        <stp>12003865359272718488</stp>
        <stp>CTQ</stp>
        <tr r="G22" s="8"/>
        <tr r="J22" s="8"/>
      </tp>
      <tp t="s">
        <v>"services.rtd.subscriptionError"</v>
        <stp/>
        <stp>17097660282758551869</stp>
        <stp>CTQ</stp>
        <tr r="G4" s="12"/>
        <tr r="J4" s="12"/>
      </tp>
      <tp t="s">
        <v>"services.rtd.subscriptionError"</v>
        <stp/>
        <stp>17711323309675939815</stp>
        <stp>CTQ</stp>
        <tr r="J16" s="10"/>
        <tr r="G16" s="10"/>
      </tp>
    </main>
    <main first="tt.rtd">
      <tp t="s">
        <v>96.300</v>
        <stp/>
        <stp>10620117733411968864</stp>
        <stp>Ask</stp>
        <tr r="D21" s="7"/>
      </tp>
      <tp t="s">
        <v>"services.rtd.subscriptionError"</v>
        <stp/>
        <stp>15474919503937410045</stp>
        <stp>Ask</stp>
        <tr r="D17" s="5"/>
      </tp>
      <tp t="s">
        <v>"services.rtd.subscriptionError"</v>
        <stp/>
        <stp>12203053644589187435</stp>
        <stp>Ask</stp>
        <tr r="D13" s="11"/>
      </tp>
      <tp t="s">
        <v>96.110</v>
        <stp/>
        <stp>17587746350868461658</stp>
        <stp>Ask</stp>
        <tr r="D17" s="8"/>
      </tp>
      <tp t="s">
        <v>96.195</v>
        <stp/>
        <stp>11818438006115878869</stp>
        <stp>Bid</stp>
        <tr r="E12" s="8"/>
      </tp>
      <tp t="s">
        <v>"services.rtd.subscriptionError"</v>
        <stp/>
        <stp>10290150595504250421</stp>
        <stp>Bid</stp>
        <tr r="E8" s="6"/>
      </tp>
      <tp t="s">
        <v>"services.rtd.subscriptionError"</v>
        <stp/>
        <stp>14401575330262518877</stp>
        <stp>Bid</stp>
        <tr r="E14" s="11"/>
      </tp>
      <tp t="s">
        <v>96.8300</v>
        <stp/>
        <stp>15050487581241061067</stp>
        <stp>Bid</stp>
        <tr r="E9" s="9"/>
      </tp>
      <tp t="s">
        <v>"services.rtd.subscriptionError"</v>
        <stp/>
        <stp>12146542221589140494</stp>
        <stp>Bid</stp>
        <tr r="E10" s="11"/>
      </tp>
      <tp t="s">
        <v>"services.rtd.subscriptionError"</v>
        <stp/>
        <stp>13553073652848841644</stp>
        <stp>Bid</stp>
        <tr r="E13" s="5"/>
      </tp>
      <tp t="s">
        <v>96.270</v>
        <stp/>
        <stp>14618707670258439481</stp>
        <stp>Bid</stp>
        <tr r="E10" s="7"/>
      </tp>
      <tp>
        <v>0</v>
        <stp/>
        <stp>Instr</stp>
        <stp>Eurex</stp>
        <stp>FVS</stp>
        <stp>FUTURE</stp>
        <stp>Sep26</stp>
        <stp>CTQ</stp>
        <tr r="G6" s="15"/>
        <tr r="J6" s="15"/>
      </tp>
      <tp t="s">
        <v>"Invalid instrument"</v>
        <stp/>
        <stp>Instr</stp>
        <stp>CFE</stp>
        <stp>VX</stp>
        <stp>FUTURE</stp>
        <stp>Mar27</stp>
        <stp>Ask</stp>
        <tr r="D12" s="14"/>
      </tp>
      <tp>
        <v>154</v>
        <stp/>
        <stp>Instr</stp>
        <stp>CFE</stp>
        <stp>VX</stp>
        <stp>FUTURE</stp>
        <stp>Sep26</stp>
        <stp>CTQ</stp>
        <tr r="J6" s="14"/>
        <tr r="G6" s="14"/>
      </tp>
      <tp>
        <v>66</v>
        <stp/>
        <stp>14618707670258439481</stp>
        <stp>CTQ</stp>
        <tr r="J10" s="7"/>
        <tr r="G10" s="7"/>
      </tp>
      <tp>
        <v>1085</v>
        <stp/>
        <stp>15050487581241061067</stp>
        <stp>CTQ</stp>
        <tr r="G9" s="9"/>
        <tr r="J9" s="9"/>
      </tp>
      <tp t="s">
        <v>"services.rtd.subscriptionError"</v>
        <stp/>
        <stp>12146542221589140494</stp>
        <stp>CTQ</stp>
        <tr r="G10" s="11"/>
        <tr r="J10" s="11"/>
      </tp>
      <tp t="s">
        <v>"services.rtd.subscriptionError"</v>
        <stp/>
        <stp>13553073652848841644</stp>
        <stp>CTQ</stp>
        <tr r="J13" s="5"/>
        <tr r="G13" s="5"/>
      </tp>
      <tp t="s">
        <v>"services.rtd.subscriptionError"</v>
        <stp/>
        <stp>10290150595504250421</stp>
        <stp>CTQ</stp>
        <tr r="J8" s="6"/>
        <tr r="G8" s="6"/>
      </tp>
      <tp>
        <v>3</v>
        <stp/>
        <stp>11818438006115878869</stp>
        <stp>CTQ</stp>
        <tr r="G12" s="8"/>
        <tr r="J12" s="8"/>
      </tp>
      <tp t="s">
        <v>"services.rtd.subscriptionError"</v>
        <stp/>
        <stp>14401575330262518877</stp>
        <stp>CTQ</stp>
        <tr r="J14" s="11"/>
        <tr r="G14" s="11"/>
      </tp>
      <tp t="s">
        <v>96.260</v>
        <stp/>
        <stp>10173148798524565647</stp>
        <stp>Ask</stp>
        <tr r="D11" s="7"/>
      </tp>
      <tp t="s">
        <v>"services.rtd.subscriptionError"</v>
        <stp/>
        <stp>16790086843721301972</stp>
        <stp>Ask</stp>
        <tr r="D4" s="13"/>
      </tp>
      <tp t="s">
        <v>96.8150</v>
        <stp/>
        <stp>14449049893797955023</stp>
        <stp>Ask</stp>
        <tr r="D10" s="9"/>
      </tp>
      <tp t="s">
        <v>"services.rtd.subscriptionError"</v>
        <stp/>
        <stp>12802673068039550141</stp>
        <stp>Ask</stp>
        <tr r="D14" s="5"/>
      </tp>
      <tp t="s">
        <v>"services.rtd.subscriptionError"</v>
        <stp/>
        <stp>18071176284543341830</stp>
        <stp>Ask</stp>
        <tr r="D18" s="11"/>
      </tp>
      <tp t="s">
        <v>"services.rtd.subscriptionError"</v>
        <stp/>
        <stp>17097660282758551869</stp>
        <stp>Bid</stp>
        <tr r="E4" s="12"/>
      </tp>
      <tp t="s">
        <v>"services.rtd.subscriptionError"</v>
        <stp/>
        <stp>17711323309675939815</stp>
        <stp>Bid</stp>
        <tr r="E16" s="10"/>
      </tp>
      <tp t="s">
        <v>"services.rtd.subscriptionError"</v>
        <stp/>
        <stp>13485638123576588832</stp>
        <stp>Bid</stp>
        <tr r="E24" s="6"/>
      </tp>
      <tp t="s">
        <v>95.830</v>
        <stp/>
        <stp>12003865359272718488</stp>
        <stp>Bid</stp>
        <tr r="E22" s="8"/>
      </tp>
      <tp t="s">
        <v>22.1966</v>
        <stp/>
        <stp>Instr</stp>
        <stp>CFE</stp>
        <stp>VX</stp>
        <stp>FUTURE</stp>
        <stp>Aug26</stp>
        <stp>Settle</stp>
        <tr r="H5" s="14"/>
      </tp>
      <tp t="s">
        <v>20.4174</v>
        <stp/>
        <stp>Instr</stp>
        <stp>CFE</stp>
        <stp>VX</stp>
        <stp>FUTURE</stp>
        <stp>Jun26</stp>
        <stp>Settle</stp>
        <tr r="H3" s="14"/>
      </tp>
      <tp t="s">
        <v>21.7247</v>
        <stp/>
        <stp>Instr</stp>
        <stp>CFE</stp>
        <stp>VX</stp>
        <stp>FUTURE</stp>
        <stp>Jul26</stp>
        <stp>Settle</stp>
        <tr r="H4" s="14"/>
      </tp>
      <tp t="s">
        <v>Open</v>
        <stp/>
        <stp>Instr</stp>
        <stp>CFE</stp>
        <stp>VX</stp>
        <stp>FUTURE</stp>
        <stp>Jun26</stp>
        <stp>Status</stp>
        <tr r="I3" s="14"/>
      </tp>
      <tp t="s">
        <v>22.850</v>
        <stp/>
        <stp>Instr</stp>
        <stp>CFE</stp>
        <stp>VX</stp>
        <stp>FUTURE</stp>
        <stp>Nov26</stp>
        <stp>Bid</stp>
        <tr r="E8" s="14"/>
      </tp>
      <tp t="s">
        <v>Open</v>
        <stp/>
        <stp>Instr</stp>
        <stp>CFE</stp>
        <stp>VX</stp>
        <stp>FUTURE</stp>
        <stp>Jul26</stp>
        <stp>Status</stp>
        <tr r="I4" s="14"/>
      </tp>
      <tp t="s">
        <v>Open</v>
        <stp/>
        <stp>Instr</stp>
        <stp>CFE</stp>
        <stp>VX</stp>
        <stp>FUTURE</stp>
        <stp>Aug26</stp>
        <stp>Status</stp>
        <tr r="I5" s="14"/>
      </tp>
      <tp t="s">
        <v>21.95</v>
        <stp/>
        <stp>Instr</stp>
        <stp>Eurex</stp>
        <stp>FVS</stp>
        <stp>FUTURE</stp>
        <stp>Nov26</stp>
        <stp>Bid</stp>
        <tr r="E8" s="15"/>
      </tp>
      <tp>
        <v>486</v>
        <stp/>
        <stp>17925935412019565973</stp>
        <stp>CTQ</stp>
        <tr r="J10" s="3"/>
        <tr r="G10" s="3"/>
      </tp>
      <tp t="s">
        <v>"services.rtd.subscriptionError"</v>
        <stp/>
        <stp>10640221686516715116</stp>
        <stp>Ask</stp>
        <tr r="D10" s="10"/>
      </tp>
      <tp t="s">
        <v>96.145</v>
        <stp/>
        <stp>10267416492962537231</stp>
        <stp>Ask</stp>
        <tr r="D14" s="8"/>
      </tp>
      <tp t="s">
        <v>"services.rtd.subscriptionError"</v>
        <stp/>
        <stp>17244622560953637946</stp>
        <stp>Ask</stp>
        <tr r="D10" s="6"/>
      </tp>
      <tp t="s">
        <v>96.120</v>
        <stp/>
        <stp>16673841811510079166</stp>
        <stp>Bid</stp>
        <tr r="E13" s="3"/>
      </tp>
      <tp t="s">
        <v>"services.rtd.subscriptionError"</v>
        <stp/>
        <stp>15222838320367457643</stp>
        <stp>Bid</stp>
        <tr r="E6" s="13"/>
      </tp>
      <tp t="s">
        <v>97.2200</v>
        <stp/>
        <stp>16116292756507691888</stp>
        <stp>Bid</stp>
        <tr r="E6" s="9"/>
      </tp>
      <tp>
        <v>7</v>
        <stp/>
        <stp>Instr</stp>
        <stp>Eurex</stp>
        <stp>FVS</stp>
        <stp>FUTURE</stp>
        <stp>Nov26</stp>
        <stp>CTQ</stp>
        <tr r="J8" s="15"/>
        <tr r="G8" s="15"/>
      </tp>
      <tp t="s">
        <v>22.900</v>
        <stp/>
        <stp>Instr</stp>
        <stp>CFE</stp>
        <stp>VX</stp>
        <stp>FUTURE</stp>
        <stp>Oct26</stp>
        <stp>Ask</stp>
        <tr r="D7" s="14"/>
      </tp>
      <tp t="s">
        <v>22.55</v>
        <stp/>
        <stp>Instr</stp>
        <stp>Eurex</stp>
        <stp>FVS</stp>
        <stp>FUTURE</stp>
        <stp>Oct26</stp>
        <stp>Ask</stp>
        <tr r="D7" s="15"/>
      </tp>
      <tp>
        <v>12</v>
        <stp/>
        <stp>Instr</stp>
        <stp>CFE</stp>
        <stp>VX</stp>
        <stp>FUTURE</stp>
        <stp>Nov26</stp>
        <stp>CTQ</stp>
        <tr r="G8" s="14"/>
        <tr r="J8" s="14"/>
      </tp>
      <tp>
        <v>199</v>
        <stp/>
        <stp>16116292756507691888</stp>
        <stp>CTQ</stp>
        <tr r="J6" s="9"/>
        <tr r="G6" s="9"/>
      </tp>
      <tp t="s">
        <v>"services.rtd.subscriptionError"</v>
        <stp/>
        <stp>15222838320367457643</stp>
        <stp>CTQ</stp>
        <tr r="J6" s="13"/>
        <tr r="G6" s="13"/>
      </tp>
      <tp>
        <v>219</v>
        <stp/>
        <stp>16673841811510079166</stp>
        <stp>CTQ</stp>
        <tr r="J13" s="3"/>
        <tr r="G13" s="3"/>
      </tp>
      <tp t="s">
        <v>"services.rtd.subscriptionError"</v>
        <stp/>
        <stp>17269494829094841978</stp>
        <stp>Ask</stp>
        <tr r="D5" s="12"/>
      </tp>
      <tp t="s">
        <v>"services.rtd.subscriptionError"</v>
        <stp/>
        <stp>11935287284762367596</stp>
        <stp>Ask</stp>
        <tr r="D8" s="11"/>
      </tp>
      <tp t="s">
        <v>"services.rtd.subscriptionError"</v>
        <stp/>
        <stp>14192579889497853292</stp>
        <stp>Ask</stp>
        <tr r="D15" s="5"/>
      </tp>
      <tp t="s">
        <v>"services.rtd.subscriptionError"</v>
        <stp/>
        <stp>18370117369950377328</stp>
        <stp>Ask</stp>
        <tr r="D18" s="6"/>
      </tp>
      <tp t="s">
        <v>96.120</v>
        <stp/>
        <stp>17925935412019565973</stp>
        <stp>Bid</stp>
        <tr r="E10" s="3"/>
      </tp>
      <tp t="s">
        <v>22.850</v>
        <stp/>
        <stp>Instr</stp>
        <stp>CFE</stp>
        <stp>VX</stp>
        <stp>FUTURE</stp>
        <stp>Oct26</stp>
        <stp>Bid</stp>
        <tr r="E7" s="14"/>
      </tp>
      <tp t="s">
        <v>22.40</v>
        <stp/>
        <stp>Instr</stp>
        <stp>Eurex</stp>
        <stp>FVS</stp>
        <stp>FUTURE</stp>
        <stp>Oct26</stp>
        <stp>Bid</stp>
        <tr r="E7" s="15"/>
      </tp>
      <tp t="s">
        <v>"services.rtd.subscriptionError"</v>
        <stp/>
        <stp>17244622560953637946</stp>
        <stp>CTQ</stp>
        <tr r="G10" s="6"/>
        <tr r="J10" s="6"/>
      </tp>
      <tp>
        <v>4</v>
        <stp/>
        <stp>10267416492962537231</stp>
        <stp>CTQ</stp>
        <tr r="G14" s="8"/>
        <tr r="J14" s="8"/>
      </tp>
      <tp t="s">
        <v>"services.rtd.subscriptionError"</v>
        <stp/>
        <stp>10640221686516715116</stp>
        <stp>CTQ</stp>
        <tr r="J10" s="10"/>
        <tr r="G10" s="10"/>
      </tp>
      <tp t="s">
        <v>96.125</v>
        <stp/>
        <stp>17925935412019565973</stp>
        <stp>Ask</stp>
        <tr r="D10" s="3"/>
      </tp>
      <tp t="s">
        <v>"services.rtd.subscriptionError"</v>
        <stp/>
        <stp>11935287284762367596</stp>
        <stp>Bid</stp>
        <tr r="E8" s="11"/>
      </tp>
      <tp t="s">
        <v>"services.rtd.subscriptionError"</v>
        <stp/>
        <stp>14192579889497853292</stp>
        <stp>Bid</stp>
        <tr r="E15" s="5"/>
      </tp>
      <tp t="s">
        <v>"services.rtd.subscriptionError"</v>
        <stp/>
        <stp>17269494829094841978</stp>
        <stp>Bid</stp>
        <tr r="E5" s="12"/>
      </tp>
      <tp t="s">
        <v>"services.rtd.subscriptionError"</v>
        <stp/>
        <stp>18370117369950377328</stp>
        <stp>Bid</stp>
        <tr r="E18" s="6"/>
      </tp>
      <tp>
        <v>6</v>
        <stp/>
        <stp>Instr</stp>
        <stp>Eurex</stp>
        <stp>FVS</stp>
        <stp>FUTURE</stp>
        <stp>Oct26</stp>
        <stp>CTQ</stp>
        <tr r="J7" s="15"/>
        <tr r="G7" s="15"/>
      </tp>
      <tp t="s">
        <v>22.900</v>
        <stp/>
        <stp>Instr</stp>
        <stp>CFE</stp>
        <stp>VX</stp>
        <stp>FUTURE</stp>
        <stp>Nov26</stp>
        <stp>Ask</stp>
        <tr r="D8" s="14"/>
      </tp>
      <tp t="s">
        <v>22.55</v>
        <stp/>
        <stp>Instr</stp>
        <stp>Eurex</stp>
        <stp>FVS</stp>
        <stp>FUTURE</stp>
        <stp>Nov26</stp>
        <stp>Ask</stp>
        <tr r="D8" s="15"/>
      </tp>
      <tp>
        <v>18</v>
        <stp/>
        <stp>Instr</stp>
        <stp>CFE</stp>
        <stp>VX</stp>
        <stp>FUTURE</stp>
        <stp>Oct26</stp>
        <stp>CTQ</stp>
        <tr r="J7" s="14"/>
        <tr r="G7" s="14"/>
      </tp>
      <tp t="s">
        <v>"services.rtd.subscriptionError"</v>
        <stp/>
        <stp>18370117369950377328</stp>
        <stp>CTQ</stp>
        <tr r="G18" s="6"/>
        <tr r="J18" s="6"/>
      </tp>
      <tp t="s">
        <v>"services.rtd.subscriptionError"</v>
        <stp/>
        <stp>14192579889497853292</stp>
        <stp>CTQ</stp>
        <tr r="G15" s="5"/>
        <tr r="J15" s="5"/>
      </tp>
      <tp t="s">
        <v>"services.rtd.subscriptionError"</v>
        <stp/>
        <stp>11935287284762367596</stp>
        <stp>CTQ</stp>
        <tr r="J8" s="11"/>
        <tr r="G8" s="11"/>
      </tp>
      <tp t="s">
        <v>"services.rtd.subscriptionError"</v>
        <stp/>
        <stp>17269494829094841978</stp>
        <stp>CTQ</stp>
        <tr r="G5" s="12"/>
        <tr r="J5" s="12"/>
      </tp>
    </main>
    <main first="tt.rtd">
      <tp t="s">
        <v>96.125</v>
        <stp/>
        <stp>16673841811510079166</stp>
        <stp>Ask</stp>
        <tr r="D13" s="3"/>
      </tp>
      <tp t="s">
        <v>"services.rtd.subscriptionError"</v>
        <stp/>
        <stp>15222838320367457643</stp>
        <stp>Ask</stp>
        <tr r="D6" s="13"/>
      </tp>
      <tp t="s">
        <v>97.2250</v>
        <stp/>
        <stp>16116292756507691888</stp>
        <stp>Ask</stp>
        <tr r="D6" s="9"/>
      </tp>
      <tp t="s">
        <v>96.135</v>
        <stp/>
        <stp>10267416492962537231</stp>
        <stp>Bid</stp>
        <tr r="E14" s="8"/>
      </tp>
      <tp t="s">
        <v>"services.rtd.subscriptionError"</v>
        <stp/>
        <stp>10640221686516715116</stp>
        <stp>Bid</stp>
        <tr r="E10" s="10"/>
      </tp>
      <tp t="s">
        <v>"services.rtd.subscriptionError"</v>
        <stp/>
        <stp>17244622560953637946</stp>
        <stp>Bid</stp>
        <tr r="E10" s="6"/>
      </tp>
      <tp t="s">
        <v>3880399603150483481</v>
        <stp/>
        <stp>Inst</stp>
        <stp>CME</stp>
        <stp>SR1N6</stp>
        <tr r="B5" s="8"/>
      </tp>
      <tp t="s">
        <v>17587746350868461658</v>
        <stp/>
        <stp>Inst</stp>
        <stp>CME</stp>
        <stp>SR1N7</stp>
        <tr r="B17" s="8"/>
      </tp>
      <tp t="s">
        <v>17580263644204615428</v>
        <stp/>
        <stp>Inst</stp>
        <stp>CME</stp>
        <stp>SR1M6</stp>
        <tr r="B4" s="8"/>
      </tp>
      <tp t="s">
        <v>7274681043862095283</v>
        <stp/>
        <stp>Inst</stp>
        <stp>CME</stp>
        <stp>SR1M7</stp>
        <tr r="B16" s="8"/>
      </tp>
      <tp t="s">
        <v>8541084758762950878</v>
        <stp/>
        <stp>Inst</stp>
        <stp>CME</stp>
        <stp>SR1K6</stp>
        <tr r="B3" s="8"/>
      </tp>
      <tp t="s">
        <v>13003456520956211336</v>
        <stp/>
        <stp>Inst</stp>
        <stp>CME</stp>
        <stp>SR1K7</stp>
        <tr r="B15" s="8"/>
      </tp>
      <tp t="s">
        <v>10267416492962537231</v>
        <stp/>
        <stp>Inst</stp>
        <stp>CME</stp>
        <stp>SR1J7</stp>
        <tr r="B14" s="8"/>
      </tp>
      <tp t="s">
        <v>11368534221547994415</v>
        <stp/>
        <stp>Inst</stp>
        <stp>CME</stp>
        <stp>SR1H7</stp>
        <tr r="B13" s="8"/>
      </tp>
      <tp t="s">
        <v>11818438006115878869</v>
        <stp/>
        <stp>Inst</stp>
        <stp>CME</stp>
        <stp>SR1G7</stp>
        <tr r="B12" s="8"/>
      </tp>
      <tp t="s">
        <v>10475581751236764690</v>
        <stp/>
        <stp>Inst</stp>
        <stp>CME</stp>
        <stp>SR1F8</stp>
        <tr r="B23" s="8"/>
      </tp>
      <tp t="s">
        <v>12267711630185759080</v>
        <stp/>
        <stp>Inst</stp>
        <stp>CME</stp>
        <stp>SR1F7</stp>
        <tr r="B11" s="8"/>
      </tp>
      <tp t="s">
        <v>638935919762336382</v>
        <stp/>
        <stp>Inst</stp>
        <stp>CME</stp>
        <stp>SR1Z6</stp>
        <tr r="B10" s="8"/>
      </tp>
      <tp t="s">
        <v>12003865359272718488</v>
        <stp/>
        <stp>Inst</stp>
        <stp>CME</stp>
        <stp>SR1Z7</stp>
        <tr r="B22" s="8"/>
      </tp>
      <tp t="s">
        <v>8373859479390367820</v>
        <stp/>
        <stp>Inst</stp>
        <stp>CME</stp>
        <stp>SR1X6</stp>
        <tr r="B9" s="8"/>
      </tp>
      <tp t="s">
        <v>7870360088204015982</v>
        <stp/>
        <stp>Inst</stp>
        <stp>CME</stp>
        <stp>SR1X7</stp>
        <tr r="B21" s="8"/>
      </tp>
      <tp t="s">
        <v>11434035541700322135</v>
        <stp/>
        <stp>Inst</stp>
        <stp>CME</stp>
        <stp>SR1V6</stp>
        <tr r="B8" s="8"/>
      </tp>
      <tp t="s">
        <v>1383735921659243123</v>
        <stp/>
        <stp>Inst</stp>
        <stp>CME</stp>
        <stp>SR1V7</stp>
        <tr r="B20" s="8"/>
      </tp>
      <tp t="s">
        <v>9309381137161962615</v>
        <stp/>
        <stp>Inst</stp>
        <stp>CME</stp>
        <stp>SR1U6</stp>
        <tr r="B7" s="8"/>
      </tp>
      <tp t="s">
        <v>4652571663407480418</v>
        <stp/>
        <stp>Inst</stp>
        <stp>CME</stp>
        <stp>SR1U7</stp>
        <tr r="B19" s="8"/>
      </tp>
      <tp t="s">
        <v>1431239809246394376</v>
        <stp/>
        <stp>Inst</stp>
        <stp>CME</stp>
        <stp>SR1Q6</stp>
        <tr r="B6" s="8"/>
      </tp>
      <tp t="s">
        <v>15982701712321206525</v>
        <stp/>
        <stp>Inst</stp>
        <stp>CME</stp>
        <stp>SR1Q7</stp>
        <tr r="B18" s="8"/>
      </tp>
      <tp t="s">
        <v>"services.rtd.subscriptionError"</v>
        <stp/>
        <stp>11935287284762367596</stp>
        <stp>Last</stp>
        <tr r="F8" s="11"/>
      </tp>
      <tp t="s">
        <v>96.7700</v>
        <stp/>
        <stp>10341135123007474384</stp>
        <stp>Last</stp>
        <tr r="F12" s="9"/>
      </tp>
      <tp t="s">
        <v>"services.rtd.subscriptionError"</v>
        <stp/>
        <stp>14330867541177216896</stp>
        <stp>Last</stp>
        <tr r="F5" s="5"/>
      </tp>
      <tp t="s">
        <v>96.8350</v>
        <stp/>
        <stp>15050487581241061067</stp>
        <stp>Last</stp>
        <tr r="F9" s="9"/>
      </tp>
      <tp t="s">
        <v>"services.rtd.subscriptionError"</v>
        <stp/>
        <stp>17887834827094596965</stp>
        <stp>Last</stp>
        <tr r="F4" s="10"/>
      </tp>
      <tp t="s">
        <v>95.980</v>
        <stp/>
        <stp>11906745505255579027</stp>
        <stp>Last</stp>
        <tr r="F19" s="3"/>
      </tp>
      <tp t="s">
        <v>"services.rtd.subscriptionError"</v>
        <stp/>
        <stp>14714678855879803828</stp>
        <stp>Last</stp>
        <tr r="F3" s="11"/>
      </tp>
      <tp t="s">
        <v>96.380</v>
        <stp/>
        <stp>11804036294809825783</stp>
        <stp>Last</stp>
        <tr r="F5" s="7"/>
      </tp>
      <tp t="s">
        <v>96.285</v>
        <stp/>
        <stp>10056698436755136015</stp>
        <stp>Last</stp>
        <tr r="F5" s="3"/>
      </tp>
      <tp t="s">
        <v>SR3U6</v>
        <stp/>
        <stp>10056698436755136015</stp>
        <stp>Name</stp>
        <tr r="C5" s="3"/>
      </tp>
      <tp t="s">
        <v>ZQN6</v>
        <stp/>
        <stp>11804036294809825783</stp>
        <stp>Name</stp>
        <tr r="C5" s="7"/>
      </tp>
      <tp t="s">
        <v>SA3 FMH0026!</v>
        <stp/>
        <stp>14714678855879803828</stp>
        <stp>Name</stp>
        <tr r="C3" s="11"/>
        <tr r="C3" s="11"/>
      </tp>
      <tp t="s">
        <v>SR3H0</v>
        <stp/>
        <stp>11906745505255579027</stp>
        <stp>Name</stp>
        <tr r="C19" s="3"/>
      </tp>
      <tp t="s">
        <v>CRAU7</v>
        <stp/>
        <stp>15050487581241061067</stp>
        <stp>Name</stp>
        <tr r="C9" s="9"/>
      </tp>
      <tp t="s">
        <v>ER3 FMM0026!</v>
        <stp/>
        <stp>17887834827094596965</stp>
        <stp>Name</stp>
        <tr r="C4" s="10"/>
        <tr r="C4" s="10"/>
      </tp>
      <tp t="s">
        <v>SA3 FMM0027!</v>
        <stp/>
        <stp>11935287284762367596</stp>
        <stp>Name</stp>
        <tr r="C8" s="11"/>
        <tr r="C8" s="11"/>
      </tp>
      <tp t="s">
        <v>CRAM8</v>
        <stp/>
        <stp>10341135123007474384</stp>
        <stp>Name</stp>
        <tr r="C12" s="9"/>
      </tp>
      <tp t="s">
        <v>SO3 FMU0026!</v>
        <stp/>
        <stp>14330867541177216896</stp>
        <stp>Name</stp>
        <tr r="C5" s="5"/>
        <tr r="C5" s="5"/>
      </tp>
      <tp t="s">
        <v>"services.rtd.subscriptionError"</v>
        <stp/>
        <stp>1747584185598573651</stp>
        <stp>Bid</stp>
        <tr r="E23" s="5"/>
      </tp>
      <tp t="s">
        <v>97.71250</v>
        <stp/>
        <stp>5228476373492902639</stp>
        <stp>Bid</stp>
        <tr r="E3" s="9"/>
      </tp>
    </main>
    <main first="tt.rtd">
      <tp t="s">
        <v>"services.rtd.subscriptionError"</v>
        <stp/>
        <stp>4168309689089408432</stp>
        <stp>Bid</stp>
        <tr r="E19" s="10"/>
      </tp>
    </main>
    <main first="tt.rtd">
      <tp t="s">
        <v>"services.rtd.subscriptionError"</v>
        <stp/>
        <stp>2929215027186538641</stp>
        <stp>Bid</stp>
        <tr r="E6" s="5"/>
      </tp>
      <tp t="s">
        <v>96.120</v>
        <stp/>
        <stp>3627732870844351558</stp>
        <stp>Bid</stp>
        <tr r="E20" s="7"/>
      </tp>
      <tp t="s">
        <v>96.130</v>
        <stp/>
        <stp>6196921965222780943</stp>
        <stp>Bid</stp>
        <tr r="E15" s="7"/>
      </tp>
      <tp t="s">
        <v>"services.rtd.subscriptionError"</v>
        <stp/>
        <stp>1727586975590923283</stp>
        <stp>Ask</stp>
        <tr r="D20" s="6"/>
      </tp>
      <tp t="s">
        <v>"services.rtd.subscriptionError"</v>
        <stp/>
        <stp>4020974588637570309</stp>
        <stp>Ask</stp>
        <tr r="D17" s="10"/>
      </tp>
    </main>
    <main first="tt.rtd">
      <tp t="s">
        <v>N/A</v>
        <stp/>
        <stp>7870360088204015982</stp>
        <stp>Ask</stp>
        <tr r="D21" s="8"/>
      </tp>
      <tp t="s">
        <v/>
        <stp/>
        <stp>2798056836424267605</stp>
        <stp>CTQ</stp>
        <tr r="J26" s="3"/>
        <tr r="G26" s="3"/>
      </tp>
      <tp>
        <v>3339</v>
        <stp/>
        <stp>8298997090319007208</stp>
        <stp>CTQ</stp>
        <tr r="J6" s="7"/>
        <tr r="G6" s="7"/>
      </tp>
      <tp t="s">
        <v>"services.rtd.subscriptionError"</v>
        <stp/>
        <stp>14192579889497853292</stp>
        <stp>Last</stp>
        <tr r="F15" s="5"/>
      </tp>
      <tp t="s">
        <v>"services.rtd.subscriptionError"</v>
        <stp/>
        <stp>16839673253147663046</stp>
        <stp>Last</stp>
        <tr r="F23" s="6"/>
      </tp>
      <tp t="s">
        <v>"services.rtd.subscriptionError"</v>
        <stp/>
        <stp>13181973989553924789</stp>
        <stp>Last</stp>
        <tr r="F13" s="6"/>
      </tp>
      <tp t="s">
        <v>"services.rtd.subscriptionError"</v>
        <stp/>
        <stp>12062554666991936143</stp>
        <stp>Last</stp>
        <tr r="F9" s="10"/>
      </tp>
      <tp t="s">
        <v>ER3 FMU0027!</v>
        <stp/>
        <stp>12062554666991936143</stp>
        <stp>Name</stp>
        <tr r="C9" s="10"/>
        <tr r="C9" s="10"/>
      </tp>
      <tp t="s">
        <v>I   FMU0028!</v>
        <stp/>
        <stp>13181973989553924789</stp>
        <stp>Name</stp>
        <tr r="C13" s="6"/>
        <tr r="C13" s="6"/>
      </tp>
      <tp t="s">
        <v>I   FMH0031!</v>
        <stp/>
        <stp>16839673253147663046</stp>
        <stp>Name</stp>
        <tr r="C23" s="6"/>
        <tr r="C23" s="6"/>
      </tp>
      <tp t="s">
        <v>SO3 FMH0029!</v>
        <stp/>
        <stp>14192579889497853292</stp>
        <stp>Name</stp>
        <tr r="C15" s="5"/>
        <tr r="C15" s="5"/>
      </tp>
      <tp t="s">
        <v>96.365</v>
        <stp/>
        <stp>8298997090319007208</stp>
        <stp>Bid</stp>
        <tr r="E6" s="7"/>
      </tp>
      <tp t="s">
        <v>95.710</v>
        <stp/>
        <stp>2798056836424267605</stp>
        <stp>Bid</stp>
        <tr r="E26" s="3"/>
      </tp>
      <tp t="s">
        <v>"services.rtd.subscriptionError"</v>
        <stp/>
        <stp>6488806392486217148</stp>
        <stp>Ask</stp>
        <tr r="D19" s="6"/>
      </tp>
      <tp t="s">
        <v>"services.rtd.subscriptionError"</v>
        <stp/>
        <stp>3779534020756663275</stp>
        <stp>Ask</stp>
        <tr r="D18" s="10"/>
      </tp>
      <tp t="s">
        <v>"services.rtd.subscriptionError"</v>
        <stp/>
        <stp>3161274050251907543</stp>
        <stp>Ask</stp>
        <tr r="D14" s="10"/>
      </tp>
      <tp t="s">
        <v>96.195</v>
        <stp/>
        <stp>3761391845186607269</stp>
        <stp>Ask</stp>
        <tr r="D6" s="3"/>
      </tp>
      <tp>
        <v>1</v>
        <stp/>
        <stp>6196921965222780943</stp>
        <stp>CTQ</stp>
        <tr r="G15" s="7"/>
        <tr r="J15" s="7"/>
      </tp>
      <tp t="s">
        <v/>
        <stp/>
        <stp>3627732870844351558</stp>
        <stp>CTQ</stp>
        <tr r="J20" s="7"/>
        <tr r="G20" s="7"/>
      </tp>
      <tp>
        <v>0</v>
        <stp/>
        <stp>5228476373492902639</stp>
        <stp>CTQ</stp>
        <tr r="G3" s="9"/>
        <tr r="J3" s="9"/>
      </tp>
      <tp t="s">
        <v>"services.rtd.subscriptionError"</v>
        <stp/>
        <stp>2929215027186538641</stp>
        <stp>CTQ</stp>
        <tr r="G6" s="5"/>
        <tr r="J6" s="5"/>
      </tp>
      <tp t="s">
        <v>"services.rtd.subscriptionError"</v>
        <stp/>
        <stp>4168309689089408432</stp>
        <stp>CTQ</stp>
        <tr r="G19" s="10"/>
        <tr r="J19" s="10"/>
      </tp>
      <tp t="s">
        <v>"services.rtd.subscriptionError"</v>
        <stp/>
        <stp>1747584185598573651</stp>
        <stp>CTQ</stp>
        <tr r="G23" s="5"/>
        <tr r="J23" s="5"/>
      </tp>
      <tp t="s">
        <v>12741923103719175711</v>
        <stp/>
        <stp>Inst</stp>
        <stp>CME</stp>
        <stp>SR3M8</stp>
        <tr r="B12" s="3"/>
      </tp>
      <tp t="s">
        <v>11432813735419224277</v>
        <stp/>
        <stp>Inst</stp>
        <stp>CME</stp>
        <stp>SR3M9</stp>
        <tr r="B16" s="3"/>
      </tp>
      <tp t="s">
        <v>2518875037886751798</v>
        <stp/>
        <stp>Inst</stp>
        <stp>CME</stp>
        <stp>SR3M6</stp>
        <tr r="B4" s="3"/>
      </tp>
      <tp t="s">
        <v>6064266935547558467</v>
        <stp/>
        <stp>Inst</stp>
        <stp>CME</stp>
        <stp>SR3M7</stp>
        <tr r="B8" s="3"/>
      </tp>
      <tp t="s">
        <v>8236602463566917986</v>
        <stp/>
        <stp>Inst</stp>
        <stp>CME</stp>
        <stp>SR3M0</stp>
        <tr r="B20" s="3"/>
      </tp>
      <tp t="s">
        <v>9218462374027862637</v>
        <stp/>
        <stp>Inst</stp>
        <stp>CME</stp>
        <stp>SR3M1</stp>
        <tr r="B24" s="3"/>
      </tp>
      <tp t="s">
        <v>3822227243959035490</v>
        <stp/>
        <stp>Inst</stp>
        <stp>CME</stp>
        <stp>SR3H8</stp>
        <tr r="B11" s="3"/>
      </tp>
      <tp t="s">
        <v>4211986922965728750</v>
        <stp/>
        <stp>Inst</stp>
        <stp>CME</stp>
        <stp>SR3H9</stp>
        <tr r="B15" s="3"/>
      </tp>
      <tp t="s">
        <v>2264814074172926158</v>
        <stp/>
        <stp>Inst</stp>
        <stp>CME</stp>
        <stp>SR3H6</stp>
        <tr r="B3" s="3"/>
      </tp>
      <tp t="s">
        <v>8786029629332899618</v>
        <stp/>
        <stp>Inst</stp>
        <stp>CME</stp>
        <stp>SR3H7</stp>
        <tr r="B7" s="3"/>
      </tp>
      <tp t="s">
        <v>11954488268734512343</v>
        <stp/>
        <stp>Inst</stp>
        <stp>CME</stp>
        <stp>SR3H2</stp>
        <tr r="B27" s="3"/>
      </tp>
      <tp t="s">
        <v>11906745505255579027</v>
        <stp/>
        <stp>Inst</stp>
        <stp>CME</stp>
        <stp>SR3H0</stp>
        <tr r="B19" s="3"/>
      </tp>
      <tp t="s">
        <v>1445113220851198574</v>
        <stp/>
        <stp>Inst</stp>
        <stp>CME</stp>
        <stp>SR3H1</stp>
        <tr r="B23" s="3"/>
      </tp>
      <tp t="s">
        <v>7359239446017790966</v>
        <stp/>
        <stp>Inst</stp>
        <stp>CME</stp>
        <stp>SR3Z8</stp>
        <tr r="B14" s="3"/>
      </tp>
      <tp t="s">
        <v>12350987571259131621</v>
        <stp/>
        <stp>Inst</stp>
        <stp>CME</stp>
        <stp>SR3Z9</stp>
        <tr r="B18" s="3"/>
      </tp>
      <tp t="s">
        <v>3761391845186607269</v>
        <stp/>
        <stp>Inst</stp>
        <stp>CME</stp>
        <stp>SR3Z6</stp>
        <tr r="B6" s="3"/>
      </tp>
      <tp t="s">
        <v>17925935412019565973</v>
        <stp/>
        <stp>Inst</stp>
        <stp>CME</stp>
        <stp>SR3Z7</stp>
        <tr r="B10" s="3"/>
      </tp>
      <tp t="s">
        <v>5899392161601857848</v>
        <stp/>
        <stp>Inst</stp>
        <stp>CME</stp>
        <stp>SR3Z0</stp>
        <tr r="B22" s="3"/>
      </tp>
      <tp t="s">
        <v>2798056836424267605</v>
        <stp/>
        <stp>Inst</stp>
        <stp>CME</stp>
        <stp>SR3Z1</stp>
        <tr r="B26" s="3"/>
      </tp>
      <tp t="s">
        <v>16673841811510079166</v>
        <stp/>
        <stp>Inst</stp>
        <stp>CME</stp>
        <stp>SR3U8</stp>
        <tr r="B13" s="3"/>
      </tp>
      <tp t="s">
        <v>9909662404632894188</v>
        <stp/>
        <stp>Inst</stp>
        <stp>CME</stp>
        <stp>SR3U9</stp>
        <tr r="B17" s="3"/>
      </tp>
      <tp t="s">
        <v>10056698436755136015</v>
        <stp/>
        <stp>Inst</stp>
        <stp>CME</stp>
        <stp>SR3U6</stp>
        <tr r="B5" s="3"/>
      </tp>
      <tp t="s">
        <v>10582686653072545408</v>
        <stp/>
        <stp>Inst</stp>
        <stp>CME</stp>
        <stp>SR3U7</stp>
        <tr r="B9" s="3"/>
      </tp>
      <tp t="s">
        <v>13762141828290349231</v>
        <stp/>
        <stp>Inst</stp>
        <stp>CME</stp>
        <stp>SR3U0</stp>
        <tr r="B21" s="3"/>
      </tp>
      <tp t="s">
        <v>8069871726958016254</v>
        <stp/>
        <stp>Inst</stp>
        <stp>CME</stp>
        <stp>SR3U1</stp>
        <tr r="B25" s="3"/>
      </tp>
      <tp t="s">
        <v>"services.rtd.subscriptionError"</v>
        <stp/>
        <stp>16444027228601244617</stp>
        <stp>Last</stp>
        <tr r="F18" s="5"/>
      </tp>
      <tp t="s">
        <v>96.100</v>
        <stp/>
        <stp>11729320422875922731</stp>
        <stp>Last</stp>
        <tr r="F18" s="7"/>
      </tp>
      <tp t="s">
        <v>"services.rtd.subscriptionError"</v>
        <stp/>
        <stp>17269494829094841978</stp>
        <stp>Last</stp>
        <tr r="F5" s="12"/>
      </tp>
      <tp t="s">
        <v>"services.rtd.subscriptionError"</v>
        <stp/>
        <stp>12651832782987310492</stp>
        <stp>Last</stp>
        <tr r="F7" s="13"/>
      </tp>
      <tp t="s">
        <v>MPC FMZ0026!</v>
        <stp/>
        <stp>12651832782987310492</stp>
        <stp>Name</stp>
        <tr r="C7" s="13"/>
        <tr r="C7" s="13"/>
      </tp>
      <tp t="s">
        <v>EMP FMU0026!</v>
        <stp/>
        <stp>17269494829094841978</stp>
        <stp>Name</stp>
        <tr r="C5" s="12"/>
        <tr r="C5" s="12"/>
      </tp>
      <tp t="s">
        <v>ZQQ7</v>
        <stp/>
        <stp>11729320422875922731</stp>
        <stp>Name</stp>
        <tr r="C18" s="7"/>
      </tp>
      <tp t="s">
        <v>SO3 FMZ0029!</v>
        <stp/>
        <stp>16444027228601244617</stp>
        <stp>Name</stp>
        <tr r="C18" s="5"/>
        <tr r="C18" s="5"/>
      </tp>
      <tp t="s">
        <v>96.190</v>
        <stp/>
        <stp>3761391845186607269</stp>
        <stp>Bid</stp>
        <tr r="E6" s="3"/>
      </tp>
      <tp t="s">
        <v>"services.rtd.subscriptionError"</v>
        <stp/>
        <stp>3161274050251907543</stp>
        <stp>Bid</stp>
        <tr r="E14" s="10"/>
      </tp>
    </main>
    <main first="tt.rtd">
      <tp t="s">
        <v>"services.rtd.subscriptionError"</v>
        <stp/>
        <stp>6488806392486217148</stp>
        <stp>Bid</stp>
        <tr r="E19" s="6"/>
      </tp>
    </main>
    <main first="tt.rtd">
      <tp t="s">
        <v>"services.rtd.subscriptionError"</v>
        <stp/>
        <stp>3779534020756663275</stp>
        <stp>Bid</stp>
        <tr r="E18" s="10"/>
      </tp>
    </main>
    <main first="tt.rtd">
      <tp t="s">
        <v>95.725</v>
        <stp/>
        <stp>2798056836424267605</stp>
        <stp>Ask</stp>
        <tr r="D26" s="3"/>
      </tp>
      <tp t="s">
        <v>96.370</v>
        <stp/>
        <stp>8298997090319007208</stp>
        <stp>Ask</stp>
        <tr r="D6" s="7"/>
      </tp>
      <tp>
        <v>0</v>
        <stp/>
        <stp>7870360088204015982</stp>
        <stp>CTQ</stp>
        <tr r="G21" s="8"/>
        <tr r="J21" s="8"/>
      </tp>
      <tp t="s">
        <v>"services.rtd.subscriptionError"</v>
        <stp/>
        <stp>4020974588637570309</stp>
        <stp>CTQ</stp>
        <tr r="J17" s="10"/>
        <tr r="G17" s="10"/>
      </tp>
      <tp t="s">
        <v>"services.rtd.subscriptionError"</v>
        <stp/>
        <stp>1727586975590923283</stp>
        <stp>CTQ</stp>
        <tr r="J20" s="6"/>
        <tr r="G20" s="6"/>
      </tp>
      <tp t="s">
        <v>96.220</v>
        <stp/>
        <stp>12267711630185759080</stp>
        <stp>Last</stp>
        <tr r="F11" s="8"/>
      </tp>
      <tp t="s">
        <v>"services.rtd.subscriptionError"</v>
        <stp/>
        <stp>12146542221589140494</stp>
        <stp>Last</stp>
        <tr r="F10" s="11"/>
      </tp>
      <tp t="s">
        <v>"services.rtd.subscriptionError"</v>
        <stp/>
        <stp>12215144550695335695</stp>
        <stp>Last</stp>
        <tr r="F11" s="10"/>
      </tp>
      <tp t="s">
        <v>96.260</v>
        <stp/>
        <stp>10173148798524565647</stp>
        <stp>Last</stp>
        <tr r="F11" s="7"/>
      </tp>
      <tp t="s">
        <v>"services.rtd.subscriptionError"</v>
        <stp/>
        <stp>13553073652848841644</stp>
        <stp>Last</stp>
        <tr r="F13" s="5"/>
      </tp>
      <tp t="s">
        <v>SO3 FMU0028!</v>
        <stp/>
        <stp>13553073652848841644</stp>
        <stp>Name</stp>
        <tr r="C13" s="5"/>
        <tr r="C13" s="5"/>
      </tp>
      <tp t="s">
        <v>ZQF7</v>
        <stp/>
        <stp>10173148798524565647</stp>
        <stp>Name</stp>
        <tr r="C11" s="7"/>
      </tp>
      <tp t="s">
        <v>ER3 FMH0028!</v>
        <stp/>
        <stp>12215144550695335695</stp>
        <stp>Name</stp>
        <tr r="C11" s="10"/>
        <tr r="C11" s="10"/>
      </tp>
      <tp t="s">
        <v>SR1F7</v>
        <stp/>
        <stp>12267711630185759080</stp>
        <stp>Name</stp>
        <tr r="C11" s="8"/>
      </tp>
      <tp t="s">
        <v>SA3 FMZ0027!</v>
        <stp/>
        <stp>12146542221589140494</stp>
        <stp>Name</stp>
        <tr r="C10" s="11"/>
        <tr r="C10" s="11"/>
      </tp>
      <tp t="s">
        <v>"services.rtd.subscriptionError"</v>
        <stp/>
        <stp>1727586975590923283</stp>
        <stp>Bid</stp>
        <tr r="E20" s="6"/>
      </tp>
      <tp t="s">
        <v>"services.rtd.subscriptionError"</v>
        <stp/>
        <stp>4020974588637570309</stp>
        <stp>Bid</stp>
        <tr r="E17" s="10"/>
      </tp>
      <tp t="s">
        <v>95.890</v>
        <stp/>
        <stp>7870360088204015982</stp>
        <stp>Bid</stp>
        <tr r="E21" s="8"/>
      </tp>
      <tp t="s">
        <v>96.165</v>
        <stp/>
        <stp>3627732870844351558</stp>
        <stp>Ask</stp>
        <tr r="D20" s="7"/>
      </tp>
      <tp t="s">
        <v>96.140</v>
        <stp/>
        <stp>6196921965222780943</stp>
        <stp>Ask</stp>
        <tr r="D15" s="7"/>
      </tp>
      <tp t="s">
        <v>"services.rtd.subscriptionError"</v>
        <stp/>
        <stp>1747584185598573651</stp>
        <stp>Ask</stp>
        <tr r="D23" s="5"/>
      </tp>
      <tp t="s">
        <v>"services.rtd.subscriptionError"</v>
        <stp/>
        <stp>4168309689089408432</stp>
        <stp>Ask</stp>
        <tr r="D19" s="10"/>
      </tp>
      <tp t="s">
        <v>"services.rtd.subscriptionError"</v>
        <stp/>
        <stp>2929215027186538641</stp>
        <stp>Ask</stp>
        <tr r="D6" s="5"/>
      </tp>
      <tp t="s">
        <v>97.71500</v>
        <stp/>
        <stp>5228476373492902639</stp>
        <stp>Ask</stp>
        <tr r="D3" s="9"/>
      </tp>
      <tp t="s">
        <v>"services.rtd.subscriptionError"</v>
        <stp/>
        <stp>3779534020756663275</stp>
        <stp>CTQ</stp>
        <tr r="G18" s="10"/>
        <tr r="J18" s="10"/>
      </tp>
      <tp t="s">
        <v>"services.rtd.subscriptionError"</v>
        <stp/>
        <stp>6488806392486217148</stp>
        <stp>CTQ</stp>
        <tr r="J19" s="6"/>
        <tr r="G19" s="6"/>
      </tp>
      <tp>
        <v>200</v>
        <stp/>
        <stp>3761391845186607269</stp>
        <stp>CTQ</stp>
        <tr r="G6" s="3"/>
        <tr r="J6" s="3"/>
      </tp>
      <tp t="s">
        <v>"services.rtd.subscriptionError"</v>
        <stp/>
        <stp>3161274050251907543</stp>
        <stp>CTQ</stp>
        <tr r="G14" s="10"/>
        <tr r="J14" s="10"/>
      </tp>
      <tp t="s">
        <v/>
        <stp/>
        <stp>Instr</stp>
        <stp>CFE</stp>
        <stp>VX</stp>
        <stp>FUTURE</stp>
        <stp>Jan27</stp>
        <stp>Bid</stp>
        <tr r="E10" s="14"/>
      </tp>
      <tp t="s">
        <v>20.050</v>
        <stp/>
        <stp>Instr</stp>
        <stp>CFE</stp>
        <stp>VX</stp>
        <stp>FUTURE</stp>
        <stp>Jun26</stp>
        <stp>Bid</stp>
        <tr r="E3" s="14"/>
      </tp>
      <tp t="s">
        <v/>
        <stp/>
        <stp>10620117733411968864</stp>
        <stp>Last</stp>
        <tr r="F21" s="7"/>
      </tp>
      <tp t="s">
        <v>96.080</v>
        <stp/>
        <stp>10582686653072545408</stp>
        <stp>Last</stp>
        <tr r="F9" s="3"/>
      </tp>
      <tp t="s">
        <v>95.915</v>
        <stp/>
        <stp>13762141828290349231</stp>
        <stp>Last</stp>
        <tr r="F21" s="3"/>
      </tp>
      <tp t="s">
        <v/>
        <stp/>
        <stp>15982701712321206525</stp>
        <stp>Last</stp>
        <tr r="F18" s="8"/>
      </tp>
      <tp t="s">
        <v>SR1Q7</v>
        <stp/>
        <stp>15982701712321206525</stp>
        <stp>Name</stp>
        <tr r="C18" s="8"/>
      </tp>
      <tp t="s">
        <v>"services.rtd.subscriptionError"</v>
        <stp/>
        <stp>Instr</stp>
        <stp>Eurex</stp>
        <stp>FVS</stp>
        <stp>FUTURE</stp>
        <stp>Jun26</stp>
        <stp>Bid</stp>
        <tr r="E3" s="15"/>
      </tp>
      <tp t="s">
        <v>"Invalid instrument"</v>
        <stp/>
        <stp>Instr</stp>
        <stp>Eurex</stp>
        <stp>FVS</stp>
        <stp>FUTURE</stp>
        <stp>Jan27</stp>
        <stp>Bid</stp>
        <tr r="E10" s="15"/>
      </tp>
      <tp t="s">
        <v>SR3U0</v>
        <stp/>
        <stp>13762141828290349231</stp>
        <stp>Name</stp>
        <tr r="C21" s="3"/>
      </tp>
      <tp t="s">
        <v>ZQX7</v>
        <stp/>
        <stp>10620117733411968864</stp>
        <stp>Name</stp>
        <tr r="C21" s="7"/>
      </tp>
      <tp t="s">
        <v>SR3U7</v>
        <stp/>
        <stp>10582686653072545408</stp>
        <stp>Name</stp>
        <tr r="C9" s="3"/>
      </tp>
      <tp t="s">
        <v>96.350</v>
        <stp/>
        <stp>1431239809246394376</stp>
        <stp>Bid</stp>
        <tr r="E6" s="8"/>
      </tp>
      <tp t="s">
        <v>"services.rtd.subscriptionError"</v>
        <stp/>
        <stp>6883681751251454284</stp>
        <stp>Bid</stp>
        <tr r="E10" s="5"/>
      </tp>
      <tp t="s">
        <v>95.235</v>
        <stp/>
        <stp>1916532763064230074</stp>
        <stp>Bid</stp>
        <tr r="E27" s="5"/>
      </tp>
      <tp t="s">
        <v>"services.rtd.subscriptionError"</v>
        <stp/>
        <stp>4771138968527992296</stp>
        <stp>Bid</stp>
        <tr r="E11" s="5"/>
      </tp>
      <tp t="s">
        <v>97.4700</v>
        <stp/>
        <stp>2731941855341504934</stp>
        <stp>Bid</stp>
        <tr r="E5" s="9"/>
      </tp>
      <tp t="s">
        <v>95.840</v>
        <stp/>
        <stp>1445113220851198574</stp>
        <stp>Bid</stp>
        <tr r="E23" s="3"/>
      </tp>
      <tp t="s">
        <v>"services.rtd.subscriptionError"</v>
        <stp/>
        <stp>6504067269185906303</stp>
        <stp>Bid</stp>
        <tr r="E15" s="11"/>
      </tp>
      <tp t="s">
        <v>"services.rtd.subscriptionError"</v>
        <stp/>
        <stp>2156362514544478257</stp>
        <stp>Bid</stp>
        <tr r="E21" s="10"/>
      </tp>
      <tp t="s">
        <v>96.380</v>
        <stp/>
        <stp>1173228227003061405</stp>
        <stp>Bid</stp>
        <tr r="E4" s="7"/>
      </tp>
      <tp t="s">
        <v>96.110</v>
        <stp/>
        <stp>7274681043862095283</stp>
        <stp>Ask</stp>
        <tr r="D16" s="8"/>
      </tp>
      <tp t="s">
        <v>"services.rtd.subscriptionError"</v>
        <stp/>
        <stp>6628990053936569924</stp>
        <stp>Ask</stp>
        <tr r="D5" s="6"/>
      </tp>
      <tp t="s">
        <v>"services.rtd.subscriptionError"</v>
        <stp/>
        <stp>6978109625607659725</stp>
        <stp>Ask</stp>
        <tr r="D7" s="10"/>
      </tp>
      <tp t="s">
        <v>"services.rtd.subscriptionError"</v>
        <stp/>
        <stp>7543045276132469533</stp>
        <stp>CTQ</stp>
        <tr r="G12" s="10"/>
        <tr r="J12" s="10"/>
      </tp>
      <tp>
        <v>102</v>
        <stp/>
        <stp>8236602463566917986</stp>
        <stp>CTQ</stp>
        <tr r="J20" s="3"/>
        <tr r="G20" s="3"/>
      </tp>
      <tp>
        <v>0</v>
        <stp/>
        <stp>9891412297684821778</stp>
        <stp>CTQ</stp>
        <tr r="J23" s="7"/>
        <tr r="G23" s="7"/>
      </tp>
      <tp t="s">
        <v>"services.rtd.subscriptionError"</v>
        <stp/>
        <stp>1617737763414000389</stp>
        <stp>CTQ</stp>
        <tr r="G8" s="10"/>
        <tr r="J8" s="10"/>
      </tp>
      <tp>
        <v>8</v>
        <stp/>
        <stp>8541084758762950878</stp>
        <stp>CTQ</stp>
        <tr r="J3" s="8"/>
        <tr r="G3" s="8"/>
      </tp>
      <tp t="s">
        <v>"Invalid instrument"</v>
        <stp/>
        <stp>Instr</stp>
        <stp>Eurex</stp>
        <stp>FVS</stp>
        <stp>FUTURE</stp>
        <stp>Jan27</stp>
        <stp>CTQ</stp>
        <tr r="G10" s="15"/>
        <tr r="J10" s="15"/>
      </tp>
      <tp t="s">
        <v>"services.rtd.subscriptionError"</v>
        <stp/>
        <stp>Instr</stp>
        <stp>Eurex</stp>
        <stp>FVS</stp>
        <stp>FUTURE</stp>
        <stp>Jun26</stp>
        <stp>CTQ</stp>
        <tr r="G3" s="15"/>
        <tr r="J3" s="15"/>
      </tp>
      <tp t="s">
        <v>21.500</v>
        <stp/>
        <stp>Instr</stp>
        <stp>CFE</stp>
        <stp>VX</stp>
        <stp>FUTURE</stp>
        <stp>Jul26</stp>
        <stp>Ask</stp>
        <tr r="D4" s="14"/>
      </tp>
      <tp t="s">
        <v>96.120</v>
        <stp/>
        <stp>17925935412019565973</stp>
        <stp>Last</stp>
        <tr r="F10" s="3"/>
      </tp>
      <tp t="s">
        <v>23.25</v>
        <stp/>
        <stp>Instr</stp>
        <stp>Eurex</stp>
        <stp>FVS</stp>
        <stp>FUTURE</stp>
        <stp>Jul26</stp>
        <stp>Ask</stp>
        <tr r="D4" s="15"/>
      </tp>
      <tp t="s">
        <v>"services.rtd.subscriptionError"</v>
        <stp/>
        <stp>18370117369950377328</stp>
        <stp>Last</stp>
        <tr r="F18" s="6"/>
      </tp>
      <tp t="s">
        <v>96.280</v>
        <stp/>
        <stp>14618707670258439481</stp>
        <stp>Last</stp>
        <tr r="F10" s="7"/>
      </tp>
      <tp t="s">
        <v>"services.rtd.subscriptionError"</v>
        <stp/>
        <stp>17388498933531365606</stp>
        <stp>Last</stp>
        <tr r="F4" s="5"/>
      </tp>
      <tp t="s">
        <v>"services.rtd.subscriptionError"</v>
        <stp/>
        <stp>17983703097809095440</stp>
        <stp>Last</stp>
        <tr r="F17" s="6"/>
      </tp>
      <tp t="s">
        <v>97.6800</v>
        <stp/>
        <stp>11607487364946020404</stp>
        <stp>Last</stp>
        <tr r="F4" s="9"/>
      </tp>
      <tp>
        <v>25</v>
        <stp/>
        <stp>Instr</stp>
        <stp>CFE</stp>
        <stp>VX</stp>
        <stp>FUTURE</stp>
        <stp>Jun26</stp>
        <stp>CTQ</stp>
        <tr r="G3" s="14"/>
        <tr r="J3" s="14"/>
      </tp>
      <tp t="s">
        <v/>
        <stp/>
        <stp>Instr</stp>
        <stp>CFE</stp>
        <stp>VX</stp>
        <stp>FUTURE</stp>
        <stp>Jan27</stp>
        <stp>CTQ</stp>
        <tr r="J10" s="14"/>
        <tr r="G10" s="14"/>
      </tp>
      <tp t="s">
        <v>98.0650</v>
        <stp/>
        <stp>16193655064494849323</stp>
        <stp>Last</stp>
        <tr r="F3" s="10"/>
      </tp>
      <tp t="s">
        <v>"services.rtd.subscriptionError"</v>
        <stp/>
        <stp>15117311257991458693</stp>
        <stp>Last</stp>
        <tr r="F16" s="11"/>
      </tp>
      <tp t="s">
        <v>ER3 FMH0026!</v>
        <stp/>
        <stp>16193655064494849323</stp>
        <stp>Name</stp>
        <tr r="C3" s="10"/>
        <tr r="C3" s="10"/>
      </tp>
      <tp t="s">
        <v>SA3 FMM0029!</v>
        <stp/>
        <stp>15117311257991458693</stp>
        <stp>Name</stp>
        <tr r="C16" s="11"/>
        <tr r="C16" s="11"/>
      </tp>
      <tp t="s">
        <v>CRAM6</v>
        <stp/>
        <stp>11607487364946020404</stp>
        <stp>Name</stp>
        <tr r="C4" s="9"/>
      </tp>
      <tp t="s">
        <v>I   FMU0029!</v>
        <stp/>
        <stp>17983703097809095440</stp>
        <stp>Name</stp>
        <tr r="C17" s="6"/>
        <tr r="C17" s="6"/>
      </tp>
      <tp t="s">
        <v>SO3 FMM0026!</v>
        <stp/>
        <stp>17388498933531365606</stp>
        <stp>Name</stp>
        <tr r="C4" s="5"/>
        <tr r="C4" s="5"/>
      </tp>
      <tp t="s">
        <v>I   FMZ0029!</v>
        <stp/>
        <stp>18370117369950377328</stp>
        <stp>Name</stp>
        <tr r="C18" s="6"/>
        <tr r="C18" s="6"/>
      </tp>
      <tp t="s">
        <v>ZQZ6</v>
        <stp/>
        <stp>14618707670258439481</stp>
        <stp>Name</stp>
        <tr r="C10" s="7"/>
      </tp>
      <tp t="s">
        <v>SR3Z7</v>
        <stp/>
        <stp>17925935412019565973</stp>
        <stp>Name</stp>
        <tr r="C10" s="3"/>
      </tp>
      <tp t="s">
        <v>96.4250</v>
        <stp/>
        <stp>8541084758762950878</stp>
        <stp>Bid</stp>
        <tr r="E3" s="8"/>
      </tp>
    </main>
    <main first="tt.rtd">
      <tp t="s">
        <v>"services.rtd.subscriptionError"</v>
        <stp/>
        <stp>1617737763414000389</stp>
        <stp>Bid</stp>
        <tr r="E8" s="10"/>
      </tp>
    </main>
    <main first="tt.rtd">
      <tp t="s">
        <v>N/A</v>
        <stp/>
        <stp>9891412297684821778</stp>
        <stp>Bid</stp>
        <tr r="E23" s="7"/>
      </tp>
      <tp t="s">
        <v>95.950</v>
        <stp/>
        <stp>8236602463566917986</stp>
        <stp>Bid</stp>
        <tr r="E20" s="3"/>
      </tp>
      <tp t="s">
        <v>"services.rtd.subscriptionError"</v>
        <stp/>
        <stp>7543045276132469533</stp>
        <stp>Bid</stp>
        <tr r="E12" s="10"/>
      </tp>
      <tp t="s">
        <v>"services.rtd.subscriptionError"</v>
        <stp/>
        <stp>5444827104880269937</stp>
        <stp>Ask</stp>
        <tr r="D4" s="6"/>
      </tp>
      <tp t="s">
        <v>96.340</v>
        <stp/>
        <stp>7772853716872034867</stp>
        <stp>Ask</stp>
        <tr r="D8" s="7"/>
      </tp>
      <tp t="s">
        <v>96.075</v>
        <stp/>
        <stp>6064266935547558467</stp>
        <stp>Ask</stp>
        <tr r="D8" s="3"/>
      </tp>
      <tp t="s">
        <v>N/A</v>
        <stp/>
        <stp>4652571663407480418</stp>
        <stp>Ask</stp>
        <tr r="D19" s="8"/>
      </tp>
      <tp t="s">
        <v>"services.rtd.subscriptionError"</v>
        <stp/>
        <stp>6777292727603905167</stp>
        <stp>Ask</stp>
        <tr r="D4" s="11"/>
      </tp>
      <tp t="s">
        <v>"services.rtd.subscriptionError"</v>
        <stp/>
        <stp>1588166901584120091</stp>
        <stp>Ask</stp>
        <tr r="D3" s="13"/>
      </tp>
    </main>
    <main first="tt.rtd">
      <tp t="s">
        <v>96.380</v>
        <stp/>
        <stp>3880399603150483481</stp>
        <stp>Ask</stp>
        <tr r="D5" s="8"/>
      </tp>
      <tp>
        <v>3427</v>
        <stp/>
        <stp>1173228227003061405</stp>
        <stp>CTQ</stp>
        <tr r="G4" s="7"/>
        <tr r="J4" s="7"/>
      </tp>
      <tp>
        <v>422</v>
        <stp/>
        <stp>2731941855341504934</stp>
        <stp>CTQ</stp>
        <tr r="G5" s="9"/>
        <tr r="J5" s="9"/>
      </tp>
      <tp t="s">
        <v>"services.rtd.subscriptionError"</v>
        <stp/>
        <stp>2156362514544478257</stp>
        <stp>CTQ</stp>
        <tr r="G21" s="10"/>
        <tr r="J21" s="10"/>
      </tp>
      <tp t="s">
        <v>"services.rtd.subscriptionError"</v>
        <stp/>
        <stp>6504067269185906303</stp>
        <stp>CTQ</stp>
        <tr r="J15" s="11"/>
        <tr r="G15" s="11"/>
      </tp>
      <tp>
        <v>96</v>
        <stp/>
        <stp>1445113220851198574</stp>
        <stp>CTQ</stp>
        <tr r="J23" s="3"/>
        <tr r="G23" s="3"/>
      </tp>
      <tp t="s">
        <v>"services.rtd.subscriptionError"</v>
        <stp/>
        <stp>4771138968527992296</stp>
        <stp>CTQ</stp>
        <tr r="G11" s="5"/>
        <tr r="J11" s="5"/>
      </tp>
      <tp>
        <v>0</v>
        <stp/>
        <stp>1916532763064230074</stp>
        <stp>CTQ</stp>
        <tr r="G27" s="5"/>
        <tr r="J27" s="5"/>
      </tp>
      <tp t="s">
        <v>"services.rtd.subscriptionError"</v>
        <stp/>
        <stp>6883681751251454284</stp>
        <stp>CTQ</stp>
        <tr r="J10" s="5"/>
        <tr r="G10" s="5"/>
      </tp>
      <tp>
        <v>1</v>
        <stp/>
        <stp>1431239809246394376</stp>
        <stp>CTQ</stp>
        <tr r="J6" s="8"/>
        <tr r="G6" s="8"/>
      </tp>
      <tp t="s">
        <v>Open</v>
        <stp/>
        <stp>Instr</stp>
        <stp>CFE</stp>
        <stp>VX</stp>
        <stp>FUTURE</stp>
        <stp>Nov26</stp>
        <stp>Status</stp>
        <tr r="I8" s="14"/>
      </tp>
      <tp t="s">
        <v>21.450</v>
        <stp/>
        <stp>Instr</stp>
        <stp>CFE</stp>
        <stp>VX</stp>
        <stp>FUTURE</stp>
        <stp>Jul26</stp>
        <stp>Bid</stp>
        <tr r="E4" s="14"/>
      </tp>
      <tp t="s">
        <v>22.9565</v>
        <stp/>
        <stp>Instr</stp>
        <stp>CFE</stp>
        <stp>VX</stp>
        <stp>FUTURE</stp>
        <stp>Nov26</stp>
        <stp>Settle</stp>
        <tr r="H8" s="14"/>
      </tp>
      <tp t="s">
        <v>96.010</v>
        <stp/>
        <stp>12350987571259131621</stp>
        <stp>Last</stp>
        <tr r="F18" s="3"/>
      </tp>
      <tp t="s">
        <v>96.175</v>
        <stp/>
        <stp>11368534221547994415</stp>
        <stp>Last</stp>
        <tr r="F13" s="8"/>
      </tp>
      <tp t="s">
        <v>SR1H7</v>
        <stp/>
        <stp>11368534221547994415</stp>
        <stp>Name</stp>
        <tr r="C13" s="8"/>
      </tp>
      <tp t="s">
        <v>23.15</v>
        <stp/>
        <stp>Instr</stp>
        <stp>Eurex</stp>
        <stp>FVS</stp>
        <stp>FUTURE</stp>
        <stp>Jul26</stp>
        <stp>Bid</stp>
        <tr r="E4" s="15"/>
      </tp>
      <tp t="s">
        <v>SR3Z9</v>
        <stp/>
        <stp>12350987571259131621</stp>
        <stp>Name</stp>
        <tr r="C18" s="3"/>
      </tp>
      <tp t="s">
        <v>"services.rtd.subscriptionError"</v>
        <stp/>
        <stp>1588166901584120091</stp>
        <stp>Bid</stp>
        <tr r="E3" s="13"/>
      </tp>
      <tp t="s">
        <v>96.375</v>
        <stp/>
        <stp>3880399603150483481</stp>
        <stp>Bid</stp>
        <tr r="E5" s="8"/>
      </tp>
      <tp t="s">
        <v>96.070</v>
        <stp/>
        <stp>6064266935547558467</stp>
        <stp>Bid</stp>
        <tr r="E8" s="3"/>
      </tp>
      <tp t="s">
        <v>"services.rtd.subscriptionError"</v>
        <stp/>
        <stp>5444827104880269937</stp>
        <stp>Bid</stp>
        <tr r="E4" s="6"/>
      </tp>
      <tp t="s">
        <v>96.335</v>
        <stp/>
        <stp>7772853716872034867</stp>
        <stp>Bid</stp>
        <tr r="E8" s="7"/>
      </tp>
      <tp t="s">
        <v>95.730</v>
        <stp/>
        <stp>4652571663407480418</stp>
        <stp>Bid</stp>
        <tr r="E19" s="8"/>
      </tp>
      <tp t="s">
        <v>"services.rtd.subscriptionError"</v>
        <stp/>
        <stp>6777292727603905167</stp>
        <stp>Bid</stp>
        <tr r="E4" s="11"/>
      </tp>
      <tp t="s">
        <v>N/A</v>
        <stp/>
        <stp>9891412297684821778</stp>
        <stp>Ask</stp>
        <tr r="D23" s="7"/>
      </tp>
      <tp t="s">
        <v>"services.rtd.subscriptionError"</v>
        <stp/>
        <stp>7543045276132469533</stp>
        <stp>Ask</stp>
        <tr r="D12" s="10"/>
      </tp>
      <tp t="s">
        <v>95.955</v>
        <stp/>
        <stp>8236602463566917986</stp>
        <stp>Ask</stp>
        <tr r="D20" s="3"/>
      </tp>
      <tp t="s">
        <v>96.4275</v>
        <stp/>
        <stp>8541084758762950878</stp>
        <stp>Ask</stp>
        <tr r="D3" s="8"/>
      </tp>
      <tp t="s">
        <v>"services.rtd.subscriptionError"</v>
        <stp/>
        <stp>1617737763414000389</stp>
        <stp>Ask</stp>
        <tr r="D8" s="10"/>
      </tp>
      <tp>
        <v>2</v>
        <stp/>
        <stp>7274681043862095283</stp>
        <stp>CTQ</stp>
        <tr r="J16" s="8"/>
        <tr r="G16" s="8"/>
      </tp>
      <tp t="s">
        <v>"services.rtd.subscriptionError"</v>
        <stp/>
        <stp>6978109625607659725</stp>
        <stp>CTQ</stp>
        <tr r="G7" s="10"/>
        <tr r="J7" s="10"/>
      </tp>
      <tp t="s">
        <v>"services.rtd.subscriptionError"</v>
        <stp/>
        <stp>6628990053936569924</stp>
        <stp>CTQ</stp>
        <tr r="G5" s="6"/>
        <tr r="J5" s="6"/>
      </tp>
      <tp>
        <v>4</v>
        <stp/>
        <stp>Instr</stp>
        <stp>Eurex</stp>
        <stp>FVS</stp>
        <stp>FUTURE</stp>
        <stp>Jul26</stp>
        <stp>CTQ</stp>
        <tr r="J4" s="15"/>
        <tr r="G4" s="15"/>
      </tp>
      <tp t="s">
        <v>20.100</v>
        <stp/>
        <stp>Instr</stp>
        <stp>CFE</stp>
        <stp>VX</stp>
        <stp>FUTURE</stp>
        <stp>Jun26</stp>
        <stp>Ask</stp>
        <tr r="D3" s="14"/>
      </tp>
      <tp t="s">
        <v/>
        <stp/>
        <stp>Instr</stp>
        <stp>CFE</stp>
        <stp>VX</stp>
        <stp>FUTURE</stp>
        <stp>Jan27</stp>
        <stp>Ask</stp>
        <tr r="D10" s="14"/>
      </tp>
      <tp t="s">
        <v>"Invalid instrument"</v>
        <stp/>
        <stp>Instr</stp>
        <stp>Eurex</stp>
        <stp>FVS</stp>
        <stp>FUTURE</stp>
        <stp>Jan27</stp>
        <stp>Ask</stp>
        <tr r="D10" s="15"/>
      </tp>
      <tp t="s">
        <v>"services.rtd.subscriptionError"</v>
        <stp/>
        <stp>Instr</stp>
        <stp>Eurex</stp>
        <stp>FVS</stp>
        <stp>FUTURE</stp>
        <stp>Jun26</stp>
        <stp>Ask</stp>
        <tr r="D3" s="15"/>
      </tp>
      <tp t="s">
        <v>"services.rtd.subscriptionError"</v>
        <stp/>
        <stp>16790086843721301972</stp>
        <stp>Last</stp>
        <tr r="F4" s="13"/>
      </tp>
      <tp t="s">
        <v>95.625</v>
        <stp/>
        <stp>11954488268734512343</stp>
        <stp>Last</stp>
        <tr r="F27" s="3"/>
      </tp>
      <tp t="s">
        <v>"services.rtd.subscriptionError"</v>
        <stp/>
        <stp>13942165873650377178</stp>
        <stp>Last</stp>
        <tr r="F5" s="10"/>
      </tp>
      <tp>
        <v>166</v>
        <stp/>
        <stp>Instr</stp>
        <stp>CFE</stp>
        <stp>VX</stp>
        <stp>FUTURE</stp>
        <stp>Jul26</stp>
        <stp>CTQ</stp>
        <tr r="J4" s="14"/>
        <tr r="G4" s="14"/>
      </tp>
      <tp t="s">
        <v>96.8150</v>
        <stp/>
        <stp>14449049893797955023</stp>
        <stp>Last</stp>
        <tr r="F10" s="9"/>
      </tp>
      <tp t="s">
        <v>CRAZ7</v>
        <stp/>
        <stp>14449049893797955023</stp>
        <stp>Name</stp>
        <tr r="C10" s="9"/>
      </tp>
      <tp t="s">
        <v>SR3H2</v>
        <stp/>
        <stp>11954488268734512343</stp>
        <stp>Name</stp>
        <tr r="C27" s="3"/>
      </tp>
      <tp t="s">
        <v>ER3 FMU0026!</v>
        <stp/>
        <stp>13942165873650377178</stp>
        <stp>Name</stp>
        <tr r="C5" s="10"/>
        <tr r="C5" s="10"/>
      </tp>
      <tp t="s">
        <v>MPC FMN0026!</v>
        <stp/>
        <stp>16790086843721301972</stp>
        <stp>Name</stp>
        <tr r="C4" s="13"/>
        <tr r="C4" s="13"/>
      </tp>
      <tp t="s">
        <v>"services.rtd.subscriptionError"</v>
        <stp/>
        <stp>6978109625607659725</stp>
        <stp>Bid</stp>
        <tr r="E7" s="10"/>
      </tp>
      <tp t="s">
        <v>"services.rtd.subscriptionError"</v>
        <stp/>
        <stp>6628990053936569924</stp>
        <stp>Bid</stp>
        <tr r="E5" s="6"/>
      </tp>
      <tp t="s">
        <v>96.095</v>
        <stp/>
        <stp>7274681043862095283</stp>
        <stp>Bid</stp>
        <tr r="E16" s="8"/>
      </tp>
      <tp t="s">
        <v>"services.rtd.subscriptionError"</v>
        <stp/>
        <stp>6504067269185906303</stp>
        <stp>Ask</stp>
        <tr r="D15" s="11"/>
      </tp>
      <tp t="s">
        <v>95.845</v>
        <stp/>
        <stp>1445113220851198574</stp>
        <stp>Ask</stp>
        <tr r="D23" s="3"/>
      </tp>
      <tp t="s">
        <v>"services.rtd.subscriptionError"</v>
        <stp/>
        <stp>2156362514544478257</stp>
        <stp>Ask</stp>
        <tr r="D21" s="10"/>
      </tp>
      <tp t="s">
        <v>97.4750</v>
        <stp/>
        <stp>2731941855341504934</stp>
        <stp>Ask</stp>
        <tr r="D5" s="9"/>
      </tp>
      <tp t="s">
        <v>96.385</v>
        <stp/>
        <stp>1173228227003061405</stp>
        <stp>Ask</stp>
        <tr r="D4" s="7"/>
      </tp>
      <tp t="s">
        <v>96.355</v>
        <stp/>
        <stp>1431239809246394376</stp>
        <stp>Ask</stp>
        <tr r="D6" s="8"/>
      </tp>
      <tp t="s">
        <v>"services.rtd.subscriptionError"</v>
        <stp/>
        <stp>6883681751251454284</stp>
        <stp>Ask</stp>
        <tr r="D10" s="5"/>
      </tp>
      <tp t="s">
        <v>"services.rtd.subscriptionError"</v>
        <stp/>
        <stp>4771138968527992296</stp>
        <stp>Ask</stp>
        <tr r="D11" s="5"/>
      </tp>
      <tp t="s">
        <v>95.295</v>
        <stp/>
        <stp>1916532763064230074</stp>
        <stp>Ask</stp>
        <tr r="D27" s="5"/>
      </tp>
      <tp t="s">
        <v>"services.rtd.subscriptionError"</v>
        <stp/>
        <stp>6777292727603905167</stp>
        <stp>CTQ</stp>
        <tr r="G4" s="11"/>
        <tr r="J4" s="11"/>
      </tp>
      <tp>
        <v>0</v>
        <stp/>
        <stp>4652571663407480418</stp>
        <stp>CTQ</stp>
        <tr r="J19" s="8"/>
        <tr r="G19" s="8"/>
      </tp>
      <tp>
        <v>15</v>
        <stp/>
        <stp>6064266935547558467</stp>
        <stp>CTQ</stp>
        <tr r="G8" s="3"/>
        <tr r="J8" s="3"/>
      </tp>
      <tp>
        <v>125</v>
        <stp/>
        <stp>7772853716872034867</stp>
        <stp>CTQ</stp>
        <tr r="G8" s="7"/>
        <tr r="J8" s="7"/>
      </tp>
      <tp t="s">
        <v>"services.rtd.subscriptionError"</v>
        <stp/>
        <stp>5444827104880269937</stp>
        <stp>CTQ</stp>
        <tr r="G4" s="6"/>
        <tr r="J4" s="6"/>
      </tp>
      <tp>
        <v>17</v>
        <stp/>
        <stp>3880399603150483481</stp>
        <stp>CTQ</stp>
        <tr r="G5" s="8"/>
        <tr r="J5" s="8"/>
      </tp>
      <tp t="s">
        <v>"services.rtd.subscriptionError"</v>
        <stp/>
        <stp>1588166901584120091</stp>
        <stp>CTQ</stp>
        <tr r="G3" s="13"/>
        <tr r="J3" s="13"/>
      </tp>
      <tp>
        <v>1</v>
        <stp/>
        <stp>Instr</stp>
        <stp>Eurex</stp>
        <stp>FVS</stp>
        <stp>FUTURE</stp>
        <stp>Dec26</stp>
        <stp>CTQ</stp>
        <tr r="G9" s="15"/>
        <tr r="J9" s="15"/>
      </tp>
      <tp t="s">
        <v>23.0665</v>
        <stp/>
        <stp>Instr</stp>
        <stp>CFE</stp>
        <stp>VX</stp>
        <stp>FUTURE</stp>
        <stp>Jan27</stp>
        <stp>Settle</stp>
        <tr r="H10" s="14"/>
      </tp>
      <tp t="s">
        <v>"Invalid instrument"</v>
        <stp/>
        <stp>Instr</stp>
        <stp>CFE</stp>
        <stp>VX</stp>
        <stp>FUTURE</stp>
        <stp>Mar27</stp>
        <stp>Status</stp>
        <tr r="I12" s="14"/>
      </tp>
      <tp t="s">
        <v/>
        <stp/>
        <stp>Instr</stp>
        <stp>CFE</stp>
        <stp>VX</stp>
        <stp>FUTURE</stp>
        <stp>Jan27</stp>
        <stp>Status</stp>
        <tr r="I10" s="14"/>
      </tp>
      <tp t="s">
        <v>"Invalid instrument"</v>
        <stp/>
        <stp>Instr</stp>
        <stp>CFE</stp>
        <stp>VX</stp>
        <stp>FUTURE</stp>
        <stp>Feb27</stp>
        <stp>Bid</stp>
        <tr r="E11" s="14"/>
      </tp>
      <tp t="s">
        <v>"Invalid instrument"</v>
        <stp/>
        <stp>Instr</stp>
        <stp>CFE</stp>
        <stp>VX</stp>
        <stp>FUTURE</stp>
        <stp>Mar27</stp>
        <stp>Settle</stp>
        <tr r="H12" s="14"/>
      </tp>
      <tp t="s">
        <v>"services.rtd.subscriptionError"</v>
        <stp/>
        <stp>17097660282758551869</stp>
        <stp>Last</stp>
        <tr r="F4" s="12"/>
      </tp>
      <tp t="s">
        <v>96.145</v>
        <stp/>
        <stp>10267416492962537231</stp>
        <stp>Last</stp>
        <tr r="F14" s="8"/>
      </tp>
      <tp t="s">
        <v>"services.rtd.subscriptionError"</v>
        <stp/>
        <stp>10152022727750786343</stp>
        <stp>Last</stp>
        <tr r="F5" s="11"/>
      </tp>
      <tp>
        <v>7</v>
        <stp/>
        <stp>Instr</stp>
        <stp>CFE</stp>
        <stp>VX</stp>
        <stp>FUTURE</stp>
        <stp>Dec26</stp>
        <stp>CTQ</stp>
        <tr r="G9" s="14"/>
        <tr r="J9" s="14"/>
      </tp>
      <tp t="s">
        <v>"services.rtd.subscriptionError"</v>
        <stp/>
        <stp>15764738434942585223</stp>
        <stp>Last</stp>
        <tr r="F24" s="5"/>
      </tp>
      <tp t="s">
        <v>SO3 FMM0031!</v>
        <stp/>
        <stp>15764738434942585223</stp>
        <stp>Name</stp>
        <tr r="C24" s="5"/>
        <tr r="C24" s="5"/>
      </tp>
      <tp t="s">
        <v>SR1J7</v>
        <stp/>
        <stp>10267416492962537231</stp>
        <stp>Name</stp>
        <tr r="C14" s="8"/>
      </tp>
      <tp t="s">
        <v>SA3 FMU0026!</v>
        <stp/>
        <stp>10152022727750786343</stp>
        <stp>Name</stp>
        <tr r="C5" s="11"/>
        <tr r="C5" s="11"/>
      </tp>
      <tp t="s">
        <v>"Invalid instrument"</v>
        <stp/>
        <stp>Instr</stp>
        <stp>Eurex</stp>
        <stp>FVS</stp>
        <stp>FUTURE</stp>
        <stp>Feb27</stp>
        <stp>Bid</stp>
        <tr r="E11" s="15"/>
      </tp>
      <tp t="s">
        <v>EMP FMN0026!</v>
        <stp/>
        <stp>17097660282758551869</stp>
        <stp>Name</stp>
        <tr r="C4" s="12"/>
        <tr r="C4" s="12"/>
      </tp>
      <tp t="s">
        <v>96.7800</v>
        <stp/>
        <stp>1605356167456418889</stp>
        <stp>Bid</stp>
        <tr r="E11" s="9"/>
      </tp>
      <tp t="s">
        <v>"services.rtd.subscriptionError"</v>
        <stp/>
        <stp>7750437799258336819</stp>
        <stp>Bid</stp>
        <tr r="E21" s="5"/>
      </tp>
      <tp t="s">
        <v>"services.rtd.subscriptionError"</v>
        <stp/>
        <stp>9275986266275574972</stp>
        <stp>Bid</stp>
        <tr r="E22" s="6"/>
      </tp>
      <tp t="s">
        <v>"services.rtd.subscriptionError"</v>
        <stp/>
        <stp>6532810731306051149</stp>
        <stp>Bid</stp>
        <tr r="E7" s="6"/>
      </tp>
      <tp t="s">
        <v>"services.rtd.subscriptionError"</v>
        <stp/>
        <stp>6558853516677562258</stp>
        <stp>Bid</stp>
        <tr r="E17" s="11"/>
      </tp>
      <tp t="s">
        <v>"services.rtd.subscriptionError"</v>
        <stp/>
        <stp>4569106808994826877</stp>
        <stp>Ask</stp>
        <tr r="D3" s="12"/>
      </tp>
      <tp t="s">
        <v>"services.rtd.subscriptionError"</v>
        <stp/>
        <stp>4706635997717094512</stp>
        <stp>Ask</stp>
        <tr r="D19" s="5"/>
      </tp>
      <tp t="s">
        <v>"services.rtd.subscriptionError"</v>
        <stp/>
        <stp>6914531881671971328</stp>
        <stp>Ask</stp>
        <tr r="D6" s="11"/>
      </tp>
      <tp t="s">
        <v>"services.rtd.subscriptionError"</v>
        <stp/>
        <stp>3959173724590121969</stp>
        <stp>Ask</stp>
        <tr r="D22" s="10"/>
      </tp>
      <tp t="s">
        <v>95.885</v>
        <stp/>
        <stp>5899392161601857848</stp>
        <stp>Ask</stp>
        <tr r="D22" s="3"/>
      </tp>
      <tp t="s">
        <v>"services.rtd.subscriptionError"</v>
        <stp/>
        <stp>5619891302845554146</stp>
        <stp>Ask</stp>
        <tr r="D7" s="11"/>
      </tp>
      <tp>
        <v>2</v>
        <stp/>
        <stp>3324241383996491464</stp>
        <stp>CTQ</stp>
        <tr r="J19" s="7"/>
        <tr r="G19" s="7"/>
      </tp>
      <tp t="s">
        <v>"services.rtd.subscriptionError"</v>
        <stp/>
        <stp>4293326410978229541</stp>
        <stp>CTQ</stp>
        <tr r="J15" s="10"/>
        <tr r="G15" s="10"/>
      </tp>
      <tp t="s">
        <v>"services.rtd.subscriptionError"</v>
        <stp/>
        <stp>9603963912848611289</stp>
        <stp>CTQ</stp>
        <tr r="J25" s="5"/>
        <tr r="G25" s="5"/>
      </tp>
      <tp t="s">
        <v>"services.rtd.subscriptionError"</v>
        <stp/>
        <stp>1972877616990500330</stp>
        <stp>CTQ</stp>
        <tr r="J15" s="6"/>
        <tr r="G15" s="6"/>
      </tp>
      <tp>
        <v>1</v>
        <stp/>
        <stp>9218462374027862637</stp>
        <stp>CTQ</stp>
        <tr r="G24" s="3"/>
        <tr r="J24" s="3"/>
      </tp>
      <tp t="s">
        <v>"Invalid instrument"</v>
        <stp/>
        <stp>Instr</stp>
        <stp>Eurex</stp>
        <stp>FVS</stp>
        <stp>FUTURE</stp>
        <stp>Feb27</stp>
        <stp>CTQ</stp>
        <tr r="J11" s="15"/>
        <tr r="G11" s="15"/>
      </tp>
      <tp t="s">
        <v>22.550</v>
        <stp/>
        <stp>Instr</stp>
        <stp>CFE</stp>
        <stp>VX</stp>
        <stp>FUTURE</stp>
        <stp>Dec26</stp>
        <stp>Bid</stp>
        <tr r="E9" s="14"/>
      </tp>
      <tp t="s">
        <v>"services.rtd.subscriptionError"</v>
        <stp/>
        <stp>17489439929274896309</stp>
        <stp>Last</stp>
        <tr r="F8" s="5"/>
      </tp>
      <tp t="s">
        <v>"services.rtd.subscriptionError"</v>
        <stp/>
        <stp>15474919503937410045</stp>
        <stp>Last</stp>
        <tr r="F17" s="5"/>
      </tp>
      <tp t="s">
        <v>"services.rtd.subscriptionError"</v>
        <stp/>
        <stp>12802673068039550141</stp>
        <stp>Last</stp>
        <tr r="F14" s="5"/>
      </tp>
      <tp t="s">
        <v>96.320</v>
        <stp/>
        <stp>11434035541700322135</stp>
        <stp>Last</stp>
        <tr r="F8" s="8"/>
      </tp>
      <tp t="s">
        <v>96.140</v>
        <stp/>
        <stp>12741923103719175711</stp>
        <stp>Last</stp>
        <tr r="F12" s="3"/>
      </tp>
      <tp t="s">
        <v>96.3725</v>
        <stp/>
        <stp>13509294969420576563</stp>
        <stp>Last</stp>
        <tr r="F3" s="7"/>
      </tp>
      <tp t="s">
        <v>96.315</v>
        <stp/>
        <stp>13208077381270415860</stp>
        <stp>Last</stp>
        <tr r="F9" s="7"/>
      </tp>
      <tp t="s">
        <v>"Invalid instrument"</v>
        <stp/>
        <stp>Instr</stp>
        <stp>CFE</stp>
        <stp>VX</stp>
        <stp>FUTURE</stp>
        <stp>Feb27</stp>
        <stp>CTQ</stp>
        <tr r="G11" s="14"/>
        <tr r="J11" s="14"/>
      </tp>
      <tp t="s">
        <v>96.8200</v>
        <stp/>
        <stp>8219882023429969</stp>
        <stp>Settle</stp>
        <tr r="H8" s="9"/>
      </tp>
      <tp t="s">
        <v>Open</v>
        <stp/>
        <stp>8219882023429969</stp>
        <stp>Status</stp>
        <tr r="I8" s="9"/>
      </tp>
      <tp t="s">
        <v>21.35</v>
        <stp/>
        <stp>Instr</stp>
        <stp>Eurex</stp>
        <stp>FVS</stp>
        <stp>FUTURE</stp>
        <stp>Dec26</stp>
        <stp>Bid</stp>
        <tr r="E9" s="15"/>
      </tp>
      <tp t="s">
        <v>ZQK6</v>
        <stp/>
        <stp>13509294969420576563</stp>
        <stp>Name</stp>
        <tr r="C3" s="7"/>
      </tp>
      <tp t="s">
        <v>ZQX6</v>
        <stp/>
        <stp>13208077381270415860</stp>
        <stp>Name</stp>
        <tr r="C9" s="7"/>
      </tp>
      <tp t="s">
        <v>SO3 FMZ0028!</v>
        <stp/>
        <stp>12802673068039550141</stp>
        <stp>Name</stp>
        <tr r="C14" s="5"/>
        <tr r="C14" s="5"/>
      </tp>
      <tp t="s">
        <v>SR1V6</v>
        <stp/>
        <stp>11434035541700322135</stp>
        <stp>Name</stp>
        <tr r="C8" s="8"/>
      </tp>
      <tp t="s">
        <v>SR3M8</v>
        <stp/>
        <stp>12741923103719175711</stp>
        <stp>Name</stp>
        <tr r="C12" s="3"/>
      </tp>
      <tp t="s">
        <v>SO3 FMM0027!</v>
        <stp/>
        <stp>17489439929274896309</stp>
        <stp>Name</stp>
        <tr r="C8" s="5"/>
        <tr r="C8" s="5"/>
      </tp>
      <tp t="s">
        <v>SO3 FMU0029!</v>
        <stp/>
        <stp>15474919503937410045</stp>
        <stp>Name</stp>
        <tr r="C17" s="5"/>
        <tr r="C17" s="5"/>
      </tp>
      <tp t="s">
        <v>95.795</v>
        <stp/>
        <stp>9218462374027862637</stp>
        <stp>Bid</stp>
        <tr r="E24" s="3"/>
      </tp>
      <tp t="s">
        <v>"services.rtd.subscriptionError"</v>
        <stp/>
        <stp>9603963912848611289</stp>
        <stp>Bid</stp>
        <tr r="E25" s="5"/>
      </tp>
      <tp t="s">
        <v>"services.rtd.subscriptionError"</v>
        <stp/>
        <stp>1972877616990500330</stp>
        <stp>Bid</stp>
        <tr r="E15" s="6"/>
      </tp>
      <tp t="s">
        <v>95.935</v>
        <stp/>
        <stp>3324241383996491464</stp>
        <stp>Bid</stp>
        <tr r="E19" s="7"/>
      </tp>
      <tp t="s">
        <v>"services.rtd.subscriptionError"</v>
        <stp/>
        <stp>4293326410978229541</stp>
        <stp>Bid</stp>
        <tr r="E15" s="10"/>
      </tp>
      <tp t="s">
        <v>"services.rtd.subscriptionError"</v>
        <stp/>
        <stp>8609805027889680361</stp>
        <stp>Ask</stp>
        <tr r="D5" s="13"/>
      </tp>
      <tp t="s">
        <v>"services.rtd.subscriptionError"</v>
        <stp/>
        <stp>1000973058687712295</stp>
        <stp>Ask</stp>
        <tr r="D3" s="5"/>
      </tp>
      <tp t="s">
        <v>96.150</v>
        <stp/>
        <stp>3822227243959035490</stp>
        <stp>Ask</stp>
        <tr r="D11" s="3"/>
      </tp>
      <tp t="s">
        <v>96.135</v>
        <stp/>
        <stp>2334564383434255324</stp>
        <stp>Ask</stp>
        <tr r="D17" s="7"/>
      </tp>
      <tp t="s">
        <v>95.765</v>
        <stp/>
        <stp>8069871726958016254</stp>
        <stp>Ask</stp>
        <tr r="D25" s="3"/>
      </tp>
      <tp t="s">
        <v>96.3500</v>
        <stp/>
        <stp>2518875037886751798</stp>
        <stp>Ask</stp>
        <tr r="D4" s="3"/>
      </tp>
      <tp t="s">
        <v>"services.rtd.subscriptionError"</v>
        <stp/>
        <stp>6558853516677562258</stp>
        <stp>CTQ</stp>
        <tr r="G17" s="11"/>
        <tr r="J17" s="11"/>
      </tp>
      <tp t="s">
        <v>"services.rtd.subscriptionError"</v>
        <stp/>
        <stp>6532810731306051149</stp>
        <stp>CTQ</stp>
        <tr r="G7" s="6"/>
        <tr r="J7" s="6"/>
      </tp>
      <tp t="s">
        <v>"services.rtd.subscriptionError"</v>
        <stp/>
        <stp>9275986266275574972</stp>
        <stp>CTQ</stp>
        <tr r="G22" s="6"/>
        <tr r="J22" s="6"/>
      </tp>
      <tp t="s">
        <v>"services.rtd.subscriptionError"</v>
        <stp/>
        <stp>7750437799258336819</stp>
        <stp>CTQ</stp>
        <tr r="G21" s="5"/>
        <tr r="J21" s="5"/>
      </tp>
      <tp>
        <v>77</v>
        <stp/>
        <stp>1605356167456418889</stp>
        <stp>CTQ</stp>
        <tr r="J11" s="9"/>
        <tr r="G11" s="9"/>
      </tp>
      <tp t="s">
        <v>Open</v>
        <stp/>
        <stp>Instr</stp>
        <stp>CFE</stp>
        <stp>VX</stp>
        <stp>FUTURE</stp>
        <stp>Oct26</stp>
        <stp>Status</stp>
        <tr r="I7" s="14"/>
      </tp>
      <tp t="s">
        <v>22.600</v>
        <stp/>
        <stp>Instr</stp>
        <stp>CFE</stp>
        <stp>VX</stp>
        <stp>FUTURE</stp>
        <stp>Dec26</stp>
        <stp>Ask</stp>
        <tr r="D9" s="14"/>
      </tp>
      <tp t="s">
        <v>22.9981</v>
        <stp/>
        <stp>Instr</stp>
        <stp>CFE</stp>
        <stp>VX</stp>
        <stp>FUTURE</stp>
        <stp>Oct26</stp>
        <stp>Settle</stp>
        <tr r="H7" s="14"/>
      </tp>
      <tp t="s">
        <v>96.120</v>
        <stp/>
        <stp>16673841811510079166</stp>
        <stp>Last</stp>
        <tr r="F13" s="3"/>
      </tp>
      <tp t="s">
        <v>96.060</v>
        <stp/>
        <stp>11432813735419224277</stp>
        <stp>Last</stp>
        <tr r="F16" s="3"/>
      </tp>
      <tp t="s">
        <v>22.00</v>
        <stp/>
        <stp>Instr</stp>
        <stp>Eurex</stp>
        <stp>FVS</stp>
        <stp>FUTURE</stp>
        <stp>Dec26</stp>
        <stp>Ask</stp>
        <tr r="D9" s="15"/>
      </tp>
      <tp t="s">
        <v>96.7500</v>
        <stp/>
        <stp>15227833694171614065</stp>
        <stp>Last</stp>
        <tr r="F14" s="9"/>
      </tp>
      <tp t="s">
        <v>"services.rtd.subscriptionError"</v>
        <stp/>
        <stp>18341350720628559368</stp>
        <stp>Last</stp>
        <tr r="F9" s="6"/>
      </tp>
      <tp t="s">
        <v>"services.rtd.subscriptionError"</v>
        <stp/>
        <stp>13656323332417174028</stp>
        <stp>Last</stp>
        <tr r="F16" s="5"/>
      </tp>
      <tp t="s">
        <v>SO3 FMM0029!</v>
        <stp/>
        <stp>13656323332417174028</stp>
        <stp>Name</stp>
        <tr r="C16" s="5"/>
        <tr r="C16" s="5"/>
      </tp>
      <tp t="s">
        <v>I   FMU0027!</v>
        <stp/>
        <stp>18341350720628559368</stp>
        <stp>Name</stp>
        <tr r="C9" s="6"/>
        <tr r="C9" s="6"/>
      </tp>
      <tp t="s">
        <v>CRAZ8</v>
        <stp/>
        <stp>15227833694171614065</stp>
        <stp>Name</stp>
        <tr r="C14" s="9"/>
      </tp>
      <tp t="s">
        <v>SR3M9</v>
        <stp/>
        <stp>11432813735419224277</stp>
        <stp>Name</stp>
        <tr r="C16" s="3"/>
      </tp>
      <tp t="s">
        <v>SR3U8</v>
        <stp/>
        <stp>16673841811510079166</stp>
        <stp>Name</stp>
        <tr r="C13" s="3"/>
      </tp>
      <tp t="s">
        <v>96.3475</v>
        <stp/>
        <stp>2518875037886751798</stp>
        <stp>Bid</stp>
        <tr r="E4" s="3"/>
      </tp>
      <tp t="s">
        <v>"services.rtd.subscriptionError"</v>
        <stp/>
        <stp>1000973058687712295</stp>
        <stp>Bid</stp>
        <tr r="E3" s="5"/>
      </tp>
      <tp t="s">
        <v>"services.rtd.subscriptionError"</v>
        <stp/>
        <stp>8609805027889680361</stp>
        <stp>Bid</stp>
        <tr r="E5" s="13"/>
      </tp>
      <tp t="s">
        <v>96.145</v>
        <stp/>
        <stp>3822227243959035490</stp>
        <stp>Bid</stp>
        <tr r="E11" s="3"/>
      </tp>
      <tp t="s">
        <v>95.750</v>
        <stp/>
        <stp>8069871726958016254</stp>
        <stp>Bid</stp>
        <tr r="E25" s="3"/>
      </tp>
      <tp t="s">
        <v>96.125</v>
        <stp/>
        <stp>2334564383434255324</stp>
        <stp>Bid</stp>
        <tr r="E17" s="7"/>
      </tp>
      <tp t="s">
        <v>"services.rtd.subscriptionError"</v>
        <stp/>
        <stp>4293326410978229541</stp>
        <stp>Ask</stp>
        <tr r="D15" s="10"/>
      </tp>
      <tp t="s">
        <v>96.280</v>
        <stp/>
        <stp>3324241383996491464</stp>
        <stp>Ask</stp>
        <tr r="D19" s="7"/>
      </tp>
      <tp t="s">
        <v>95.805</v>
        <stp/>
        <stp>9218462374027862637</stp>
        <stp>Ask</stp>
        <tr r="D24" s="3"/>
      </tp>
      <tp t="s">
        <v>"services.rtd.subscriptionError"</v>
        <stp/>
        <stp>1972877616990500330</stp>
        <stp>Ask</stp>
        <tr r="D15" s="6"/>
      </tp>
      <tp t="s">
        <v>"services.rtd.subscriptionError"</v>
        <stp/>
        <stp>9603963912848611289</stp>
        <stp>Ask</stp>
        <tr r="D25" s="5"/>
      </tp>
      <tp t="s">
        <v>"services.rtd.subscriptionError"</v>
        <stp/>
        <stp>6914531881671971328</stp>
        <stp>CTQ</stp>
        <tr r="J6" s="11"/>
        <tr r="G6" s="11"/>
      </tp>
      <tp t="s">
        <v>"services.rtd.subscriptionError"</v>
        <stp/>
        <stp>4569106808994826877</stp>
        <stp>CTQ</stp>
        <tr r="G3" s="12"/>
        <tr r="J3" s="12"/>
      </tp>
      <tp t="s">
        <v>"services.rtd.subscriptionError"</v>
        <stp/>
        <stp>4706635997717094512</stp>
        <stp>CTQ</stp>
        <tr r="G19" s="5"/>
        <tr r="J19" s="5"/>
      </tp>
      <tp t="s">
        <v>"services.rtd.subscriptionError"</v>
        <stp/>
        <stp>5619891302845554146</stp>
        <stp>CTQ</stp>
        <tr r="G7" s="11"/>
        <tr r="J7" s="11"/>
      </tp>
      <tp>
        <v>100</v>
        <stp/>
        <stp>5899392161601857848</stp>
        <stp>CTQ</stp>
        <tr r="G22" s="3"/>
        <tr r="J22" s="3"/>
      </tp>
      <tp t="s">
        <v>"services.rtd.subscriptionError"</v>
        <stp/>
        <stp>3959173724590121969</stp>
        <stp>CTQ</stp>
        <tr r="G22" s="10"/>
        <tr r="J22" s="10"/>
      </tp>
      <tp t="s">
        <v>"Invalid instrument"</v>
        <stp/>
        <stp>Instr</stp>
        <stp>CFE</stp>
        <stp>VX</stp>
        <stp>FUTURE</stp>
        <stp>Feb27</stp>
        <stp>Ask</stp>
        <tr r="D11" s="14"/>
      </tp>
      <tp t="s">
        <v>"services.rtd.subscriptionError"</v>
        <stp/>
        <stp>17711323309675939815</stp>
        <stp>Last</stp>
        <tr r="F16" s="10"/>
      </tp>
      <tp t="s">
        <v>"Invalid instrument"</v>
        <stp/>
        <stp>Instr</stp>
        <stp>Eurex</stp>
        <stp>FVS</stp>
        <stp>FUTURE</stp>
        <stp>Feb27</stp>
        <stp>Ask</stp>
        <tr r="D11" s="15"/>
      </tp>
      <tp t="s">
        <v>"services.rtd.subscriptionError"</v>
        <stp/>
        <stp>10640221686516715116</stp>
        <stp>Last</stp>
        <tr r="F10" s="10"/>
      </tp>
      <tp t="s">
        <v>96.110</v>
        <stp/>
        <stp>13003456520956211336</stp>
        <stp>Last</stp>
        <tr r="F15" s="8"/>
      </tp>
      <tp t="s">
        <v>SR1K7</v>
        <stp/>
        <stp>13003456520956211336</stp>
        <stp>Name</stp>
        <tr r="C15" s="8"/>
      </tp>
      <tp t="s">
        <v>ER3 FMZ0027!</v>
        <stp/>
        <stp>10640221686516715116</stp>
        <stp>Name</stp>
        <tr r="C10" s="10"/>
        <tr r="C10" s="10"/>
      </tp>
      <tp t="s">
        <v>ER3 FMM0029!</v>
        <stp/>
        <stp>17711323309675939815</stp>
        <stp>Name</stp>
        <tr r="C16" s="10"/>
        <tr r="C16" s="10"/>
      </tp>
      <tp t="s">
        <v>"services.rtd.subscriptionError"</v>
        <stp/>
        <stp>3959173724590121969</stp>
        <stp>Bid</stp>
        <tr r="E22" s="10"/>
      </tp>
      <tp t="s">
        <v>"services.rtd.subscriptionError"</v>
        <stp/>
        <stp>5619891302845554146</stp>
        <stp>Bid</stp>
        <tr r="E7" s="11"/>
      </tp>
      <tp t="s">
        <v>95.880</v>
        <stp/>
        <stp>5899392161601857848</stp>
        <stp>Bid</stp>
        <tr r="E22" s="3"/>
      </tp>
      <tp t="s">
        <v>"services.rtd.subscriptionError"</v>
        <stp/>
        <stp>6914531881671971328</stp>
        <stp>Bid</stp>
        <tr r="E6" s="11"/>
      </tp>
      <tp t="s">
        <v>"services.rtd.subscriptionError"</v>
        <stp/>
        <stp>4706635997717094512</stp>
        <stp>Bid</stp>
        <tr r="E19" s="5"/>
      </tp>
      <tp t="s">
        <v>"services.rtd.subscriptionError"</v>
        <stp/>
        <stp>4569106808994826877</stp>
        <stp>Bid</stp>
        <tr r="E3" s="12"/>
      </tp>
      <tp t="s">
        <v>"services.rtd.subscriptionError"</v>
        <stp/>
        <stp>6532810731306051149</stp>
        <stp>Ask</stp>
        <tr r="D7" s="6"/>
      </tp>
      <tp t="s">
        <v>"services.rtd.subscriptionError"</v>
        <stp/>
        <stp>6558853516677562258</stp>
        <stp>Ask</stp>
        <tr r="D17" s="11"/>
      </tp>
      <tp t="s">
        <v>96.7850</v>
        <stp/>
        <stp>1605356167456418889</stp>
        <stp>Ask</stp>
        <tr r="D11" s="9"/>
      </tp>
      <tp t="s">
        <v>"services.rtd.subscriptionError"</v>
        <stp/>
        <stp>7750437799258336819</stp>
        <stp>Ask</stp>
        <tr r="D21" s="5"/>
      </tp>
      <tp t="s">
        <v>"services.rtd.subscriptionError"</v>
        <stp/>
        <stp>9275986266275574972</stp>
        <stp>Ask</stp>
        <tr r="D22" s="6"/>
      </tp>
      <tp>
        <v>35</v>
        <stp/>
        <stp>8069871726958016254</stp>
        <stp>CTQ</stp>
        <tr r="G25" s="3"/>
        <tr r="J25" s="3"/>
      </tp>
      <tp>
        <v>3</v>
        <stp/>
        <stp>2334564383434255324</stp>
        <stp>CTQ</stp>
        <tr r="G17" s="7"/>
        <tr r="J17" s="7"/>
      </tp>
      <tp>
        <v>478</v>
        <stp/>
        <stp>3822227243959035490</stp>
        <stp>CTQ</stp>
        <tr r="G11" s="3"/>
        <tr r="J11" s="3"/>
      </tp>
      <tp t="s">
        <v>"services.rtd.subscriptionError"</v>
        <stp/>
        <stp>8609805027889680361</stp>
        <stp>CTQ</stp>
        <tr r="G5" s="13"/>
        <tr r="J5" s="13"/>
      </tp>
      <tp t="s">
        <v>"services.rtd.subscriptionError"</v>
        <stp/>
        <stp>1000973058687712295</stp>
        <stp>CTQ</stp>
        <tr r="G3" s="5"/>
        <tr r="J3" s="5"/>
      </tp>
      <tp>
        <v>4139</v>
        <stp/>
        <stp>2518875037886751798</stp>
        <stp>CTQ</stp>
        <tr r="G4" s="3"/>
        <tr r="J4" s="3"/>
      </tp>
      <tp>
        <v>3</v>
        <stp/>
        <stp>Instr</stp>
        <stp>Eurex</stp>
        <stp>FVS</stp>
        <stp>FUTURE</stp>
        <stp>Aug26</stp>
        <stp>CTQ</stp>
        <tr r="G5" s="15"/>
        <tr r="J5" s="15"/>
      </tp>
      <tp t="s">
        <v>22.675</v>
        <stp/>
        <stp>Instr</stp>
        <stp>CFE</stp>
        <stp>VX</stp>
        <stp>FUTURE</stp>
        <stp>Dec26</stp>
        <stp>Settle</stp>
        <tr r="H9" s="14"/>
      </tp>
      <tp t="s">
        <v>"Invalid instrument"</v>
        <stp/>
        <stp>Instr</stp>
        <stp>CFE</stp>
        <stp>VX</stp>
        <stp>FUTURE</stp>
        <stp>Feb27</stp>
        <stp>Settle</stp>
        <tr r="H11" s="14"/>
      </tp>
      <tp t="s">
        <v>Open</v>
        <stp/>
        <stp>Instr</stp>
        <stp>CFE</stp>
        <stp>VX</stp>
        <stp>FUTURE</stp>
        <stp>Sep26</stp>
        <stp>Status</stp>
        <tr r="I6" s="14"/>
      </tp>
      <tp t="s">
        <v>22.5276</v>
        <stp/>
        <stp>Instr</stp>
        <stp>CFE</stp>
        <stp>VX</stp>
        <stp>FUTURE</stp>
        <stp>Sep26</stp>
        <stp>Settle</stp>
        <tr r="H6" s="14"/>
      </tp>
      <tp t="s">
        <v>"Invalid instrument"</v>
        <stp/>
        <stp>Instr</stp>
        <stp>CFE</stp>
        <stp>VX</stp>
        <stp>FUTURE</stp>
        <stp>Feb27</stp>
        <stp>Status</stp>
        <tr r="I11" s="14"/>
      </tp>
      <tp t="s">
        <v>Open</v>
        <stp/>
        <stp>Instr</stp>
        <stp>CFE</stp>
        <stp>VX</stp>
        <stp>FUTURE</stp>
        <stp>Dec26</stp>
        <stp>Status</stp>
        <tr r="I9" s="14"/>
      </tp>
      <tp t="s">
        <v/>
        <stp/>
        <stp>10475581751236764690</stp>
        <stp>Last</stp>
        <tr r="F23" s="8"/>
      </tp>
      <tp t="s">
        <v>96.410</v>
        <stp/>
        <stp>17580263644204615428</stp>
        <stp>Last</stp>
        <tr r="F4" s="8"/>
      </tp>
      <tp t="s">
        <v>"services.rtd.subscriptionError"</v>
        <stp/>
        <stp>18071176284543341830</stp>
        <stp>Last</stp>
        <tr r="F18" s="11"/>
      </tp>
      <tp t="s">
        <v>96.200</v>
        <stp/>
        <stp>11818438006115878869</stp>
        <stp>Last</stp>
        <tr r="F12" s="8"/>
      </tp>
      <tp>
        <v>64</v>
        <stp/>
        <stp>Instr</stp>
        <stp>CFE</stp>
        <stp>VX</stp>
        <stp>FUTURE</stp>
        <stp>Aug26</stp>
        <stp>CTQ</stp>
        <tr r="J5" s="14"/>
        <tr r="G5" s="14"/>
      </tp>
      <tp t="s">
        <v>"services.rtd.subscriptionError"</v>
        <stp/>
        <stp>18015794537179585282</stp>
        <stp>Last</stp>
        <tr r="F20" s="10"/>
      </tp>
      <tp t="s">
        <v>"services.rtd.subscriptionError"</v>
        <stp/>
        <stp>12777480240935901350</stp>
        <stp>Last</stp>
        <tr r="F7" s="5"/>
      </tp>
      <tp t="s">
        <v>ER3 FMM0030!</v>
        <stp/>
        <stp>18015794537179585282</stp>
        <stp>Name</stp>
        <tr r="C20" s="10"/>
        <tr r="C20" s="10"/>
      </tp>
      <tp t="s">
        <v>SO3 FMH0027!</v>
        <stp/>
        <stp>12777480240935901350</stp>
        <stp>Name</stp>
        <tr r="C7" s="5"/>
        <tr r="C7" s="5"/>
      </tp>
      <tp t="s">
        <v>SR1G7</v>
        <stp/>
        <stp>11818438006115878869</stp>
        <stp>Name</stp>
        <tr r="C12" s="8"/>
      </tp>
      <tp t="s">
        <v>SR1M6</v>
        <stp/>
        <stp>17580263644204615428</stp>
        <stp>Name</stp>
        <tr r="C4" s="8"/>
      </tp>
      <tp t="s">
        <v>SA3 FMZ0029!</v>
        <stp/>
        <stp>18071176284543341830</stp>
        <stp>Name</stp>
        <tr r="C18" s="11"/>
        <tr r="C18" s="11"/>
      </tp>
      <tp t="s">
        <v>SR1F8</v>
        <stp/>
        <stp>10475581751236764690</stp>
        <stp>Name</stp>
        <tr r="C23" s="8"/>
      </tp>
      <tp t="s">
        <v>96.3750</v>
        <stp/>
        <stp>2264814074172926158</stp>
        <stp>Bid</stp>
        <tr r="E3" s="3"/>
      </tp>
      <tp t="s">
        <v>"services.rtd.subscriptionError"</v>
        <stp/>
        <stp>1778338967582843813</stp>
        <stp>Bid</stp>
        <tr r="E12" s="5"/>
      </tp>
      <tp t="s">
        <v>"services.rtd.subscriptionError"</v>
        <stp/>
        <stp>5829843526467061673</stp>
        <stp>Bid</stp>
        <tr r="E16" s="6"/>
      </tp>
      <tp t="s">
        <v>97.0000</v>
        <stp/>
        <stp>1079631362856262921</stp>
        <stp>Bid</stp>
        <tr r="E7" s="9"/>
      </tp>
      <tp t="s">
        <v>"services.rtd.subscriptionError"</v>
        <stp/>
        <stp>4095991086729837254</stp>
        <stp>Bid</stp>
        <tr r="E6" s="10"/>
      </tp>
      <tp t="s">
        <v>96.105</v>
        <stp/>
        <stp>8786029629332899618</stp>
        <stp>Bid</stp>
        <tr r="E7" s="3"/>
      </tp>
      <tp t="s">
        <v>96.330</v>
        <stp/>
        <stp>9309381137161962615</stp>
        <stp>Bid</stp>
        <tr r="E7" s="8"/>
      </tp>
      <tp t="s">
        <v>"services.rtd.subscriptionError"</v>
        <stp/>
        <stp>2999253133876982849</stp>
        <stp>Ask</stp>
        <tr r="D25" s="6"/>
      </tp>
      <tp t="s">
        <v>96.355</v>
        <stp/>
        <stp>7551864584289735302</stp>
        <stp>Ask</stp>
        <tr r="D7" s="7"/>
      </tp>
      <tp t="s">
        <v>"services.rtd.subscriptionError"</v>
        <stp/>
        <stp>3973483485124835681</stp>
        <stp>Ask</stp>
        <tr r="D9" s="11"/>
      </tp>
      <tp t="s">
        <v>96.080</v>
        <stp/>
        <stp>4211986922965728750</stp>
        <stp>Ask</stp>
        <tr r="D15" s="3"/>
      </tp>
      <tp t="s">
        <v>"services.rtd.subscriptionError"</v>
        <stp/>
        <stp>6314259765637387886</stp>
        <stp>Ask</stp>
        <tr r="D11" s="11"/>
      </tp>
      <tp t="s">
        <v>"services.rtd.subscriptionError"</v>
        <stp/>
        <stp>7297840225510912048</stp>
        <stp>Ask</stp>
        <tr r="D21" s="6"/>
      </tp>
      <tp t="s">
        <v>"services.rtd.subscriptionError"</v>
        <stp/>
        <stp>6189133329181631919</stp>
        <stp>Ask</stp>
        <tr r="D14" s="6"/>
      </tp>
      <tp>
        <v>5</v>
        <stp/>
        <stp>7359239446017790966</stp>
        <stp>CTQ</stp>
        <tr r="G14" s="3"/>
        <tr r="J14" s="3"/>
      </tp>
      <tp>
        <v>115</v>
        <stp/>
        <stp>8373859479390367820</stp>
        <stp>CTQ</stp>
        <tr r="J9" s="8"/>
        <tr r="G9" s="8"/>
      </tp>
      <tp t="s">
        <v>21.950</v>
        <stp/>
        <stp>Instr</stp>
        <stp>CFE</stp>
        <stp>VX</stp>
        <stp>FUTURE</stp>
        <stp>Aug26</stp>
        <stp>Bid</stp>
        <tr r="E5" s="14"/>
      </tp>
      <tp t="s">
        <v>"services.rtd.subscriptionError"</v>
        <stp/>
        <stp>13124315370012665646</stp>
        <stp>Last</stp>
        <tr r="F9" s="5"/>
      </tp>
      <tp t="s">
        <v>"services.rtd.subscriptionError"</v>
        <stp/>
        <stp>17244622560953637946</stp>
        <stp>Last</stp>
        <tr r="F10" s="6"/>
      </tp>
      <tp t="s">
        <v>"services.rtd.subscriptionError"</v>
        <stp/>
        <stp>10290150595504250421</stp>
        <stp>Last</stp>
        <tr r="F8" s="6"/>
      </tp>
      <tp t="s">
        <v>"services.rtd.subscriptionError"</v>
        <stp/>
        <stp>13485638123576588832</stp>
        <stp>Last</stp>
        <tr r="F24" s="6"/>
      </tp>
      <tp t="s">
        <v>I   FMM0031!</v>
        <stp/>
        <stp>13485638123576588832</stp>
        <stp>Name</stp>
        <tr r="C24" s="6"/>
        <tr r="C24" s="6"/>
      </tp>
      <tp t="s">
        <v>I   FMM0027!</v>
        <stp/>
        <stp>10290150595504250421</stp>
        <stp>Name</stp>
        <tr r="C8" s="6"/>
        <tr r="C8" s="6"/>
      </tp>
      <tp t="s">
        <v>I   FMZ0027!</v>
        <stp/>
        <stp>17244622560953637946</stp>
        <stp>Name</stp>
        <tr r="C10" s="6"/>
        <tr r="C10" s="6"/>
      </tp>
      <tp t="s">
        <v>23.00</v>
        <stp/>
        <stp>Instr</stp>
        <stp>Eurex</stp>
        <stp>FVS</stp>
        <stp>FUTURE</stp>
        <stp>Aug26</stp>
        <stp>Bid</stp>
        <tr r="E5" s="15"/>
      </tp>
      <tp t="s">
        <v>SO3 FMU0027!</v>
        <stp/>
        <stp>13124315370012665646</stp>
        <stp>Name</stp>
        <tr r="C9" s="5"/>
        <tr r="C9" s="5"/>
      </tp>
      <tp t="s">
        <v>96.290</v>
        <stp/>
        <stp>8373859479390367820</stp>
        <stp>Bid</stp>
        <tr r="E9" s="8"/>
      </tp>
    </main>
    <main first="tt.rtd">
      <tp t="s">
        <v>96.095</v>
        <stp/>
        <stp>7359239446017790966</stp>
        <stp>Bid</stp>
        <tr r="E14" s="3"/>
      </tp>
      <tp t="s">
        <v>N/A</v>
        <stp/>
        <stp>1383735921659243123</stp>
        <stp>Ask</stp>
        <tr r="D20" s="8"/>
      </tp>
    </main>
    <main first="tt.rtd">
      <tp t="s">
        <v>96.7650</v>
        <stp/>
        <stp>2953900796497171980</stp>
        <stp>Ask</stp>
        <tr r="D13" s="9"/>
      </tp>
      <tp t="s">
        <v>96.040</v>
        <stp/>
        <stp>9909662404632894188</stp>
        <stp>Ask</stp>
        <tr r="D17" s="3"/>
      </tp>
      <tp t="s">
        <v>"services.rtd.subscriptionError"</v>
        <stp/>
        <stp>6159411209048528655</stp>
        <stp>Ask</stp>
        <tr r="D11" s="6"/>
      </tp>
      <tp>
        <v>2</v>
        <stp/>
        <stp>9309381137161962615</stp>
        <stp>CTQ</stp>
        <tr r="J7" s="8"/>
        <tr r="G7" s="8"/>
      </tp>
      <tp>
        <v>345</v>
        <stp/>
        <stp>8786029629332899618</stp>
        <stp>CTQ</stp>
        <tr r="J7" s="3"/>
        <tr r="G7" s="3"/>
      </tp>
      <tp>
        <v>1018</v>
        <stp/>
        <stp>1079631362856262921</stp>
        <stp>CTQ</stp>
        <tr r="J7" s="9"/>
        <tr r="G7" s="9"/>
      </tp>
      <tp t="s">
        <v>"services.rtd.subscriptionError"</v>
        <stp/>
        <stp>4095991086729837254</stp>
        <stp>CTQ</stp>
        <tr r="J6" s="10"/>
        <tr r="G6" s="10"/>
      </tp>
      <tp t="s">
        <v>"services.rtd.subscriptionError"</v>
        <stp/>
        <stp>5829843526467061673</stp>
        <stp>CTQ</stp>
        <tr r="J16" s="6"/>
        <tr r="G16" s="6"/>
      </tp>
      <tp t="s">
        <v>"services.rtd.subscriptionError"</v>
        <stp/>
        <stp>1778338967582843813</stp>
        <stp>CTQ</stp>
        <tr r="G12" s="5"/>
        <tr r="J12" s="5"/>
      </tp>
      <tp>
        <v>1</v>
        <stp/>
        <stp>2264814074172926158</stp>
        <stp>CTQ</stp>
        <tr r="G3" s="3"/>
        <tr r="J3" s="3"/>
      </tp>
      <tp t="s">
        <v>22.000</v>
        <stp/>
        <stp>Instr</stp>
        <stp>CFE</stp>
        <stp>VX</stp>
        <stp>FUTURE</stp>
        <stp>Aug26</stp>
        <stp>Ask</stp>
        <tr r="D5" s="14"/>
      </tp>
      <tp t="s">
        <v>"services.rtd.subscriptionError"</v>
        <stp/>
        <stp>12197960486633385234</stp>
        <stp>Last</stp>
        <tr r="F12" s="11"/>
      </tp>
      <tp t="s">
        <v>"services.rtd.subscriptionError"</v>
        <stp/>
        <stp>14401575330262518877</stp>
        <stp>Last</stp>
        <tr r="F14" s="11"/>
      </tp>
      <tp t="s">
        <v>23.05</v>
        <stp/>
        <stp>Instr</stp>
        <stp>Eurex</stp>
        <stp>FVS</stp>
        <stp>FUTURE</stp>
        <stp>Aug26</stp>
        <stp>Ask</stp>
        <tr r="D5" s="15"/>
      </tp>
      <tp t="s">
        <v>"services.rtd.subscriptionError"</v>
        <stp/>
        <stp>16203147123713749534</stp>
        <stp>Last</stp>
        <tr r="F12" s="6"/>
      </tp>
      <tp t="s">
        <v>"services.rtd.subscriptionError"</v>
        <stp/>
        <stp>12203053644589187435</stp>
        <stp>Last</stp>
        <tr r="F13" s="11"/>
      </tp>
      <tp t="s">
        <v>"services.rtd.subscriptionError"</v>
        <stp/>
        <stp>15222838320367457643</stp>
        <stp>Last</stp>
        <tr r="F6" s="13"/>
      </tp>
      <tp t="s">
        <v>MPC FMX0026!</v>
        <stp/>
        <stp>15222838320367457643</stp>
        <stp>Name</stp>
        <tr r="C6" s="13"/>
        <tr r="C6" s="13"/>
      </tp>
      <tp t="s">
        <v>SA3 FMU0028!</v>
        <stp/>
        <stp>12203053644589187435</stp>
        <stp>Name</stp>
        <tr r="C13" s="11"/>
        <tr r="C13" s="11"/>
      </tp>
      <tp t="s">
        <v>SA3 FMZ0028!</v>
        <stp/>
        <stp>14401575330262518877</stp>
        <stp>Name</stp>
        <tr r="C14" s="11"/>
        <tr r="C14" s="11"/>
      </tp>
      <tp t="s">
        <v>I   FMM0028!</v>
        <stp/>
        <stp>16203147123713749534</stp>
        <stp>Name</stp>
        <tr r="C12" s="6"/>
        <tr r="C12" s="6"/>
      </tp>
      <tp t="s">
        <v>SA3 FMM0028!</v>
        <stp/>
        <stp>12197960486633385234</stp>
        <stp>Name</stp>
        <tr r="C12" s="11"/>
        <tr r="C12" s="11"/>
      </tp>
      <tp t="s">
        <v>"services.rtd.subscriptionError"</v>
        <stp/>
        <stp>6159411209048528655</stp>
        <stp>Bid</stp>
        <tr r="E11" s="6"/>
      </tp>
      <tp t="s">
        <v>96.035</v>
        <stp/>
        <stp>9909662404632894188</stp>
        <stp>Bid</stp>
        <tr r="E17" s="3"/>
      </tp>
      <tp t="s">
        <v>N/A</v>
        <stp/>
        <stp>1383735921659243123</stp>
        <stp>Bid</stp>
        <tr r="E20" s="8"/>
      </tp>
      <tp t="s">
        <v>96.7550</v>
        <stp/>
        <stp>2953900796497171980</stp>
        <stp>Bid</stp>
        <tr r="E13" s="9"/>
      </tp>
      <tp t="s">
        <v>96.100</v>
        <stp/>
        <stp>7359239446017790966</stp>
        <stp>Ask</stp>
        <tr r="D14" s="3"/>
      </tp>
      <tp t="s">
        <v>96.295</v>
        <stp/>
        <stp>8373859479390367820</stp>
        <stp>Ask</stp>
        <tr r="D9" s="8"/>
      </tp>
      <tp t="s">
        <v>"services.rtd.subscriptionError"</v>
        <stp/>
        <stp>3973483485124835681</stp>
        <stp>CTQ</stp>
        <tr r="G9" s="11"/>
        <tr r="J9" s="11"/>
      </tp>
      <tp>
        <v>621</v>
        <stp/>
        <stp>7551864584289735302</stp>
        <stp>CTQ</stp>
        <tr r="J7" s="7"/>
        <tr r="G7" s="7"/>
      </tp>
      <tp t="s">
        <v>"services.rtd.subscriptionError"</v>
        <stp/>
        <stp>2999253133876982849</stp>
        <stp>CTQ</stp>
        <tr r="J25" s="6"/>
        <tr r="G25" s="6"/>
      </tp>
      <tp t="s">
        <v>"services.rtd.subscriptionError"</v>
        <stp/>
        <stp>6189133329181631919</stp>
        <stp>CTQ</stp>
        <tr r="G14" s="6"/>
        <tr r="J14" s="6"/>
      </tp>
      <tp t="s">
        <v>"services.rtd.subscriptionError"</v>
        <stp/>
        <stp>7297840225510912048</stp>
        <stp>CTQ</stp>
        <tr r="J21" s="6"/>
        <tr r="G21" s="6"/>
      </tp>
      <tp t="s">
        <v>"services.rtd.subscriptionError"</v>
        <stp/>
        <stp>6314259765637387886</stp>
        <stp>CTQ</stp>
        <tr r="J11" s="11"/>
        <tr r="G11" s="11"/>
      </tp>
      <tp>
        <v>98</v>
        <stp/>
        <stp>4211986922965728750</stp>
        <stp>CTQ</stp>
        <tr r="J15" s="3"/>
        <tr r="G15" s="3"/>
      </tp>
      <tp t="s">
        <v>"services.rtd.subscriptionError"</v>
        <stp/>
        <stp>14895182341839773964</stp>
        <stp>Last</stp>
        <tr r="F22" s="5"/>
      </tp>
      <tp t="s">
        <v>97.2200</v>
        <stp/>
        <stp>16116292756507691888</stp>
        <stp>Last</stp>
        <tr r="F6" s="9"/>
      </tp>
      <tp t="s">
        <v>"services.rtd.subscriptionError"</v>
        <stp/>
        <stp>11911434118028235803</stp>
        <stp>Last</stp>
        <tr r="F26" s="6"/>
      </tp>
      <tp t="s">
        <v>96.090</v>
        <stp/>
        <stp>17587746350868461658</stp>
        <stp>Last</stp>
        <tr r="F17" s="8"/>
      </tp>
      <tp t="s">
        <v/>
        <stp/>
        <stp>12003865359272718488</stp>
        <stp>Last</stp>
        <tr r="F22" s="8"/>
      </tp>
      <tp t="s">
        <v>SR1Z7</v>
        <stp/>
        <stp>12003865359272718488</stp>
        <stp>Name</stp>
        <tr r="C22" s="8"/>
      </tp>
      <tp t="s">
        <v>SR1N7</v>
        <stp/>
        <stp>17587746350868461658</stp>
        <stp>Name</stp>
        <tr r="C17" s="8"/>
      </tp>
      <tp t="s">
        <v>I   FMZ0031!</v>
        <stp/>
        <stp>11911434118028235803</stp>
        <stp>Name</stp>
        <tr r="C26" s="6"/>
        <tr r="C26" s="6"/>
      </tp>
      <tp t="s">
        <v>CRAZ6</v>
        <stp/>
        <stp>16116292756507691888</stp>
        <stp>Name</stp>
        <tr r="C6" s="9"/>
      </tp>
      <tp t="s">
        <v>SO3 FMZ0030!</v>
        <stp/>
        <stp>14895182341839773964</stp>
        <stp>Name</stp>
        <tr r="C22" s="5"/>
        <tr r="C22" s="5"/>
      </tp>
      <tp t="s">
        <v>"services.rtd.subscriptionError"</v>
        <stp/>
        <stp>6314259765637387886</stp>
        <stp>Bid</stp>
        <tr r="E11" s="11"/>
      </tp>
      <tp t="s">
        <v>96.075</v>
        <stp/>
        <stp>4211986922965728750</stp>
        <stp>Bid</stp>
        <tr r="E15" s="3"/>
      </tp>
      <tp t="s">
        <v>"services.rtd.subscriptionError"</v>
        <stp/>
        <stp>6189133329181631919</stp>
        <stp>Bid</stp>
        <tr r="E14" s="6"/>
      </tp>
      <tp t="s">
        <v>"services.rtd.subscriptionError"</v>
        <stp/>
        <stp>7297840225510912048</stp>
        <stp>Bid</stp>
        <tr r="E21" s="6"/>
      </tp>
      <tp t="s">
        <v>96.350</v>
        <stp/>
        <stp>7551864584289735302</stp>
        <stp>Bid</stp>
        <tr r="E7" s="7"/>
      </tp>
      <tp t="s">
        <v>"services.rtd.subscriptionError"</v>
        <stp/>
        <stp>2999253133876982849</stp>
        <stp>Bid</stp>
        <tr r="E25" s="6"/>
      </tp>
      <tp t="s">
        <v>"services.rtd.subscriptionError"</v>
        <stp/>
        <stp>3973483485124835681</stp>
        <stp>Bid</stp>
        <tr r="E9" s="11"/>
      </tp>
      <tp t="s">
        <v>"services.rtd.subscriptionError"</v>
        <stp/>
        <stp>4095991086729837254</stp>
        <stp>Ask</stp>
        <tr r="D6" s="10"/>
      </tp>
      <tp t="s">
        <v>97.0050</v>
        <stp/>
        <stp>1079631362856262921</stp>
        <stp>Ask</stp>
        <tr r="D7" s="9"/>
      </tp>
      <tp t="s">
        <v>96.110</v>
        <stp/>
        <stp>8786029629332899618</stp>
        <stp>Ask</stp>
        <tr r="D7" s="3"/>
      </tp>
      <tp t="s">
        <v>96.335</v>
        <stp/>
        <stp>9309381137161962615</stp>
        <stp>Ask</stp>
        <tr r="D7" s="8"/>
      </tp>
      <tp t="s">
        <v>96.3775</v>
        <stp/>
        <stp>2264814074172926158</stp>
        <stp>Ask</stp>
        <tr r="D3" s="3"/>
      </tp>
      <tp t="s">
        <v>"services.rtd.subscriptionError"</v>
        <stp/>
        <stp>1778338967582843813</stp>
        <stp>Ask</stp>
        <tr r="D12" s="5"/>
      </tp>
      <tp t="s">
        <v>"services.rtd.subscriptionError"</v>
        <stp/>
        <stp>5829843526467061673</stp>
        <stp>Ask</stp>
        <tr r="D16" s="6"/>
      </tp>
      <tp>
        <v>1</v>
        <stp/>
        <stp>2953900796497171980</stp>
        <stp>CTQ</stp>
        <tr r="J13" s="9"/>
        <tr r="G13" s="9"/>
      </tp>
      <tp>
        <v>0</v>
        <stp/>
        <stp>1383735921659243123</stp>
        <stp>CTQ</stp>
        <tr r="J20" s="8"/>
        <tr r="G20" s="8"/>
      </tp>
      <tp t="s">
        <v>"services.rtd.subscriptionError"</v>
        <stp/>
        <stp>6159411209048528655</stp>
        <stp>CTQ</stp>
        <tr r="G11" s="6"/>
        <tr r="J11" s="6"/>
      </tp>
      <tp>
        <v>42</v>
        <stp/>
        <stp>9909662404632894188</stp>
        <stp>CTQ</stp>
        <tr r="J17" s="3"/>
        <tr r="G17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nbertinat/Desktop/DAP/Pricing_DAP_v2.xlsm" TargetMode="External"/><Relationship Id="rId1" Type="http://schemas.openxmlformats.org/officeDocument/2006/relationships/externalLinkPath" Target="/Users/nbertinat/Desktop/DAP/Pricing_DAP_v2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RTD%20dashboard/TT%20Trading%20Files/Million%20Curves.xlsm" TargetMode="External"/><Relationship Id="rId2" Type="http://schemas.openxmlformats.org/officeDocument/2006/relationships/externalLinkPath" Target="file:///C:\Users\ARB\Downloads\TT%20Trading%20Files\Million%20Curves.xlsm" TargetMode="External"/><Relationship Id="rId1" Type="http://schemas.openxmlformats.org/officeDocument/2006/relationships/externalLinkPath" Target="/1f72c7af4dbece44/Documents/python/RTD%20dashboard/TT%20Trading%20Files/Million%20Curves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niter_TT.xlsx" TargetMode="External"/><Relationship Id="rId2" Type="http://schemas.openxmlformats.org/officeDocument/2006/relationships/externalLinkPath" Target="https://d.docs.live.net/1f72c7af4dbece44/Documents/Moniter_TT.xlsx" TargetMode="External"/><Relationship Id="rId1" Type="http://schemas.openxmlformats.org/officeDocument/2006/relationships/externalLinkPath" Target="/1f72c7af4dbece44/Documents/Moniter_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o Mercado"/>
      <sheetName val="TPF PRÉ"/>
      <sheetName val="TPF IPCA"/>
      <sheetName val="Preços Anbima"/>
      <sheetName val="Margem Teorica Maxima"/>
      <sheetName val="STN_Secundario"/>
      <sheetName val="feriados"/>
    </sheetNames>
    <sheetDataSet>
      <sheetData sheetId="0"/>
      <sheetData sheetId="1"/>
      <sheetData sheetId="2"/>
      <sheetData sheetId="3"/>
      <sheetData sheetId="4">
        <row r="4">
          <cell r="I4" t="str">
            <v>M16</v>
          </cell>
          <cell r="J4">
            <v>-7.29</v>
          </cell>
          <cell r="K4">
            <v>-20.07</v>
          </cell>
          <cell r="L4">
            <v>2</v>
          </cell>
          <cell r="M4">
            <v>20.07</v>
          </cell>
        </row>
        <row r="5">
          <cell r="I5" t="str">
            <v>N16</v>
          </cell>
          <cell r="J5">
            <v>-85.29</v>
          </cell>
          <cell r="K5">
            <v>-89.75</v>
          </cell>
          <cell r="L5">
            <v>2</v>
          </cell>
          <cell r="M5">
            <v>89.75</v>
          </cell>
        </row>
        <row r="6">
          <cell r="I6" t="str">
            <v>Q16</v>
          </cell>
          <cell r="J6">
            <v>-173.16</v>
          </cell>
          <cell r="K6">
            <v>-170.5</v>
          </cell>
          <cell r="L6">
            <v>2</v>
          </cell>
          <cell r="M6">
            <v>173.16</v>
          </cell>
        </row>
        <row r="7">
          <cell r="I7" t="str">
            <v>U16</v>
          </cell>
          <cell r="J7">
            <v>-284.75</v>
          </cell>
          <cell r="K7">
            <v>-273.49</v>
          </cell>
          <cell r="L7">
            <v>2</v>
          </cell>
          <cell r="M7">
            <v>284.75</v>
          </cell>
        </row>
        <row r="8">
          <cell r="I8" t="str">
            <v>V16</v>
          </cell>
          <cell r="J8">
            <v>-402.5</v>
          </cell>
          <cell r="K8">
            <v>-375.59</v>
          </cell>
          <cell r="L8">
            <v>2</v>
          </cell>
          <cell r="M8">
            <v>402.5</v>
          </cell>
        </row>
        <row r="9">
          <cell r="I9" t="str">
            <v>X16</v>
          </cell>
          <cell r="J9">
            <v>-527.44000000000005</v>
          </cell>
          <cell r="K9">
            <v>-482.15</v>
          </cell>
          <cell r="L9">
            <v>2</v>
          </cell>
          <cell r="M9">
            <v>527.44000000000005</v>
          </cell>
        </row>
        <row r="10">
          <cell r="I10" t="str">
            <v>Z16</v>
          </cell>
          <cell r="J10">
            <v>-652.89</v>
          </cell>
          <cell r="K10">
            <v>-600.86</v>
          </cell>
          <cell r="L10">
            <v>2</v>
          </cell>
          <cell r="M10">
            <v>652.89</v>
          </cell>
        </row>
        <row r="11">
          <cell r="I11" t="str">
            <v>F17</v>
          </cell>
          <cell r="J11">
            <v>-798.3</v>
          </cell>
          <cell r="K11">
            <v>-724.26</v>
          </cell>
          <cell r="L11">
            <v>2</v>
          </cell>
          <cell r="M11">
            <v>798.3</v>
          </cell>
        </row>
        <row r="12">
          <cell r="I12" t="str">
            <v>G17</v>
          </cell>
          <cell r="J12">
            <v>-946.22</v>
          </cell>
          <cell r="K12">
            <v>-858.85</v>
          </cell>
          <cell r="L12">
            <v>2</v>
          </cell>
          <cell r="M12">
            <v>946.22</v>
          </cell>
        </row>
        <row r="13">
          <cell r="I13" t="str">
            <v>H17</v>
          </cell>
          <cell r="J13">
            <v>-1072.79</v>
          </cell>
          <cell r="K13">
            <v>-974.23</v>
          </cell>
          <cell r="L13">
            <v>2</v>
          </cell>
          <cell r="M13">
            <v>1072.79</v>
          </cell>
        </row>
        <row r="14">
          <cell r="I14" t="str">
            <v>J17</v>
          </cell>
          <cell r="J14">
            <v>-1240.56</v>
          </cell>
          <cell r="K14">
            <v>-1129.42</v>
          </cell>
          <cell r="L14">
            <v>2</v>
          </cell>
          <cell r="M14">
            <v>1240.56</v>
          </cell>
        </row>
        <row r="15">
          <cell r="I15" t="str">
            <v>K17</v>
          </cell>
          <cell r="J15">
            <v>-1381.19</v>
          </cell>
          <cell r="K15">
            <v>-1259.51</v>
          </cell>
          <cell r="L15">
            <v>2</v>
          </cell>
          <cell r="M15">
            <v>1381.19</v>
          </cell>
        </row>
        <row r="16">
          <cell r="I16" t="str">
            <v>M17</v>
          </cell>
          <cell r="J16">
            <v>-1559.28</v>
          </cell>
          <cell r="K16">
            <v>-1437.31</v>
          </cell>
          <cell r="L16">
            <v>2</v>
          </cell>
          <cell r="M16">
            <v>1559.28</v>
          </cell>
        </row>
        <row r="17">
          <cell r="I17" t="str">
            <v>N17</v>
          </cell>
          <cell r="J17">
            <v>-1702.09</v>
          </cell>
          <cell r="K17">
            <v>-1561.17</v>
          </cell>
          <cell r="L17">
            <v>2</v>
          </cell>
          <cell r="M17">
            <v>1702.09</v>
          </cell>
        </row>
        <row r="18">
          <cell r="I18" t="str">
            <v>V17</v>
          </cell>
          <cell r="J18">
            <v>-2137.52</v>
          </cell>
          <cell r="K18">
            <v>-1922.41</v>
          </cell>
          <cell r="L18">
            <v>2</v>
          </cell>
          <cell r="M18">
            <v>2137.52</v>
          </cell>
        </row>
        <row r="19">
          <cell r="I19" t="str">
            <v>F18</v>
          </cell>
          <cell r="J19">
            <v>-2557.6799999999998</v>
          </cell>
          <cell r="K19">
            <v>-2264.81</v>
          </cell>
          <cell r="L19">
            <v>2</v>
          </cell>
          <cell r="M19">
            <v>2557.6799999999998</v>
          </cell>
        </row>
        <row r="20">
          <cell r="I20" t="str">
            <v>J18</v>
          </cell>
          <cell r="J20">
            <v>-2982.34</v>
          </cell>
          <cell r="K20">
            <v>-2603.42</v>
          </cell>
          <cell r="L20">
            <v>2</v>
          </cell>
          <cell r="M20">
            <v>2982.34</v>
          </cell>
        </row>
        <row r="21">
          <cell r="I21" t="str">
            <v>N18</v>
          </cell>
          <cell r="J21">
            <v>-3395.9</v>
          </cell>
          <cell r="K21">
            <v>-2947.42</v>
          </cell>
          <cell r="L21">
            <v>2</v>
          </cell>
          <cell r="M21">
            <v>3395.9</v>
          </cell>
        </row>
        <row r="22">
          <cell r="I22" t="str">
            <v>V18</v>
          </cell>
          <cell r="J22">
            <v>-3751.36</v>
          </cell>
          <cell r="K22">
            <v>-3289</v>
          </cell>
          <cell r="L22">
            <v>2</v>
          </cell>
          <cell r="M22">
            <v>3751.36</v>
          </cell>
        </row>
        <row r="23">
          <cell r="I23" t="str">
            <v>F19</v>
          </cell>
          <cell r="J23">
            <v>-4081.47</v>
          </cell>
          <cell r="K23">
            <v>-3614.26</v>
          </cell>
          <cell r="L23">
            <v>2</v>
          </cell>
          <cell r="M23">
            <v>4081.47</v>
          </cell>
        </row>
        <row r="24">
          <cell r="I24" t="str">
            <v>J19</v>
          </cell>
          <cell r="J24">
            <v>-4386.91</v>
          </cell>
          <cell r="K24">
            <v>-3926.66</v>
          </cell>
          <cell r="L24">
            <v>2</v>
          </cell>
          <cell r="M24">
            <v>4386.91</v>
          </cell>
        </row>
        <row r="25">
          <cell r="I25" t="str">
            <v>N19</v>
          </cell>
          <cell r="J25">
            <v>-4683.07</v>
          </cell>
          <cell r="K25">
            <v>-4229.07</v>
          </cell>
          <cell r="L25">
            <v>2</v>
          </cell>
          <cell r="M25">
            <v>4683.07</v>
          </cell>
        </row>
        <row r="26">
          <cell r="I26" t="str">
            <v>V19</v>
          </cell>
          <cell r="J26">
            <v>-4967.7</v>
          </cell>
          <cell r="K26">
            <v>-4525.37</v>
          </cell>
          <cell r="L26">
            <v>2</v>
          </cell>
          <cell r="M26">
            <v>4967.7</v>
          </cell>
        </row>
        <row r="27">
          <cell r="I27" t="str">
            <v>F20</v>
          </cell>
          <cell r="J27">
            <v>-5222.6099999999997</v>
          </cell>
          <cell r="K27">
            <v>-4801.45</v>
          </cell>
          <cell r="L27">
            <v>2</v>
          </cell>
          <cell r="M27">
            <v>5222.6099999999997</v>
          </cell>
        </row>
        <row r="28">
          <cell r="I28" t="str">
            <v>J20</v>
          </cell>
          <cell r="J28">
            <v>-5457.5</v>
          </cell>
          <cell r="K28">
            <v>-5059.6000000000004</v>
          </cell>
          <cell r="L28">
            <v>2</v>
          </cell>
          <cell r="M28">
            <v>5457.5</v>
          </cell>
        </row>
        <row r="29">
          <cell r="I29" t="str">
            <v>N20</v>
          </cell>
          <cell r="J29">
            <v>-5666.26</v>
          </cell>
          <cell r="K29">
            <v>-5294.82</v>
          </cell>
          <cell r="L29">
            <v>2</v>
          </cell>
          <cell r="M29">
            <v>5666.26</v>
          </cell>
        </row>
        <row r="30">
          <cell r="I30" t="str">
            <v>V20</v>
          </cell>
          <cell r="J30">
            <v>-5860.77</v>
          </cell>
          <cell r="K30">
            <v>-5515.28</v>
          </cell>
          <cell r="L30">
            <v>2</v>
          </cell>
          <cell r="M30">
            <v>5860.77</v>
          </cell>
        </row>
        <row r="31">
          <cell r="I31" t="str">
            <v>F21</v>
          </cell>
          <cell r="J31">
            <v>-6033.47</v>
          </cell>
          <cell r="K31">
            <v>-5719.02</v>
          </cell>
          <cell r="L31">
            <v>2</v>
          </cell>
          <cell r="M31">
            <v>6033.47</v>
          </cell>
        </row>
        <row r="32">
          <cell r="I32" t="str">
            <v>J21</v>
          </cell>
          <cell r="J32">
            <v>-6161.87</v>
          </cell>
          <cell r="K32">
            <v>-5892.01</v>
          </cell>
          <cell r="L32">
            <v>2</v>
          </cell>
          <cell r="M32">
            <v>6161.87</v>
          </cell>
        </row>
        <row r="33">
          <cell r="I33" t="str">
            <v>N21</v>
          </cell>
          <cell r="J33">
            <v>-6301.63</v>
          </cell>
          <cell r="K33">
            <v>-6055.34</v>
          </cell>
          <cell r="L33">
            <v>2</v>
          </cell>
          <cell r="M33">
            <v>6301.63</v>
          </cell>
        </row>
        <row r="34">
          <cell r="I34" t="str">
            <v>V21</v>
          </cell>
          <cell r="J34">
            <v>-6392.59</v>
          </cell>
          <cell r="K34">
            <v>-6184.72</v>
          </cell>
          <cell r="L34">
            <v>2</v>
          </cell>
          <cell r="M34">
            <v>6392.59</v>
          </cell>
        </row>
        <row r="35">
          <cell r="I35" t="str">
            <v>F22</v>
          </cell>
          <cell r="J35">
            <v>-6469.56</v>
          </cell>
          <cell r="K35">
            <v>-6294.18</v>
          </cell>
          <cell r="L35">
            <v>2</v>
          </cell>
          <cell r="M35">
            <v>6469.56</v>
          </cell>
        </row>
        <row r="36">
          <cell r="I36" t="str">
            <v>N22</v>
          </cell>
          <cell r="J36">
            <v>-6587.74</v>
          </cell>
          <cell r="K36">
            <v>-6479.5</v>
          </cell>
          <cell r="L36">
            <v>2</v>
          </cell>
          <cell r="M36">
            <v>6587.74</v>
          </cell>
        </row>
        <row r="37">
          <cell r="I37" t="str">
            <v>F23</v>
          </cell>
          <cell r="J37">
            <v>-6644.7</v>
          </cell>
          <cell r="K37">
            <v>-6612.46</v>
          </cell>
          <cell r="L37">
            <v>2</v>
          </cell>
          <cell r="M37">
            <v>6644.7</v>
          </cell>
        </row>
        <row r="38">
          <cell r="I38" t="str">
            <v>N23</v>
          </cell>
          <cell r="J38">
            <v>-6684.21</v>
          </cell>
          <cell r="K38">
            <v>-6721.46</v>
          </cell>
          <cell r="L38">
            <v>2</v>
          </cell>
          <cell r="M38">
            <v>6721.46</v>
          </cell>
        </row>
        <row r="39">
          <cell r="I39" t="str">
            <v>F24</v>
          </cell>
          <cell r="J39">
            <v>-6689.77</v>
          </cell>
          <cell r="K39">
            <v>-6801.72</v>
          </cell>
          <cell r="L39">
            <v>2</v>
          </cell>
          <cell r="M39">
            <v>6801.72</v>
          </cell>
        </row>
        <row r="40">
          <cell r="I40" t="str">
            <v>N24</v>
          </cell>
          <cell r="J40">
            <v>-6661.76</v>
          </cell>
          <cell r="K40">
            <v>-6848.44</v>
          </cell>
          <cell r="L40">
            <v>2</v>
          </cell>
          <cell r="M40">
            <v>6848.44</v>
          </cell>
        </row>
        <row r="41">
          <cell r="I41" t="str">
            <v>F25</v>
          </cell>
          <cell r="J41">
            <v>-6606.67</v>
          </cell>
          <cell r="K41">
            <v>-6869.95</v>
          </cell>
          <cell r="L41">
            <v>2</v>
          </cell>
          <cell r="M41">
            <v>6869.95</v>
          </cell>
        </row>
        <row r="42">
          <cell r="I42" t="str">
            <v>F26</v>
          </cell>
          <cell r="J42">
            <v>-6436.7</v>
          </cell>
          <cell r="K42">
            <v>-6843.83</v>
          </cell>
          <cell r="L42">
            <v>2</v>
          </cell>
          <cell r="M42">
            <v>6843.83</v>
          </cell>
        </row>
        <row r="43">
          <cell r="I43" t="str">
            <v>F27</v>
          </cell>
          <cell r="J43">
            <v>-6206.13</v>
          </cell>
          <cell r="K43">
            <v>-6745.34</v>
          </cell>
          <cell r="L43">
            <v>2</v>
          </cell>
          <cell r="M43">
            <v>6745.34</v>
          </cell>
        </row>
        <row r="44">
          <cell r="I44" t="str">
            <v>F29</v>
          </cell>
          <cell r="J44">
            <v>-5660.05</v>
          </cell>
          <cell r="K44">
            <v>-6428</v>
          </cell>
          <cell r="L44">
            <v>2</v>
          </cell>
          <cell r="M44">
            <v>6428</v>
          </cell>
        </row>
        <row r="45">
          <cell r="I45" t="str">
            <v>F30</v>
          </cell>
          <cell r="J45">
            <v>-5351.93</v>
          </cell>
          <cell r="K45">
            <v>-6213.45</v>
          </cell>
          <cell r="L45">
            <v>2</v>
          </cell>
          <cell r="M45">
            <v>6213.45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Chart"/>
      <sheetName val="SR3"/>
      <sheetName val="ER"/>
      <sheetName val="SO3"/>
      <sheetName val="SA3"/>
      <sheetName val="HBS"/>
      <sheetName val="CRA"/>
      <sheetName val="ESTR"/>
      <sheetName val="CIXN"/>
      <sheetName val="backgroundcixn"/>
      <sheetName val="background data"/>
      <sheetName val="Sheet2 (2)"/>
      <sheetName val="background (4)"/>
      <sheetName val="background prices"/>
      <sheetName val="background"/>
      <sheetName val="GL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G2">
            <v>250</v>
          </cell>
        </row>
      </sheetData>
      <sheetData sheetId="9" refreshError="1">
        <row r="3">
          <cell r="D3">
            <v>45771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</row>
        <row r="20">
          <cell r="D20">
            <v>-137.5</v>
          </cell>
          <cell r="E20">
            <v>-139.4999999999996</v>
          </cell>
          <cell r="F20">
            <v>-137.99999999999955</v>
          </cell>
          <cell r="G20">
            <v>-129.00000000000063</v>
          </cell>
          <cell r="H20">
            <v>-133.49999999999937</v>
          </cell>
          <cell r="I20">
            <v>-133.49999999999937</v>
          </cell>
          <cell r="J20">
            <v>-129.49999999999875</v>
          </cell>
          <cell r="K20">
            <v>-133.5000000000008</v>
          </cell>
          <cell r="L20">
            <v>-135.49999999999898</v>
          </cell>
          <cell r="M20">
            <v>-144.99999999999886</v>
          </cell>
          <cell r="N20">
            <v>-132.99999999999983</v>
          </cell>
          <cell r="O20">
            <v>-148.0000000000004</v>
          </cell>
          <cell r="P20">
            <v>-115.50000000000011</v>
          </cell>
          <cell r="Q20">
            <v>-120.49999999999983</v>
          </cell>
          <cell r="R20">
            <v>-113.50000000000051</v>
          </cell>
          <cell r="S20">
            <v>-114.00000000000006</v>
          </cell>
          <cell r="T20">
            <v>-126.50000000000006</v>
          </cell>
          <cell r="U20">
            <v>-123.49999999999994</v>
          </cell>
          <cell r="V20">
            <v>-127.49999999999915</v>
          </cell>
          <cell r="W20">
            <v>-126.9999999999996</v>
          </cell>
          <cell r="X20">
            <v>-134.00000000000034</v>
          </cell>
          <cell r="Y20">
            <v>-129.50000000000017</v>
          </cell>
          <cell r="Z20">
            <v>-126.00000000000051</v>
          </cell>
          <cell r="AA20">
            <v>-132.49999999999886</v>
          </cell>
          <cell r="AB20">
            <v>-125.50000000000097</v>
          </cell>
          <cell r="AC20">
            <v>-121.50000000000034</v>
          </cell>
          <cell r="AD20">
            <v>-122.49999999999943</v>
          </cell>
          <cell r="AE20">
            <v>-128.49999999999966</v>
          </cell>
          <cell r="AF20">
            <v>-131.00000000000023</v>
          </cell>
          <cell r="AG20">
            <v>-124.50000000000045</v>
          </cell>
          <cell r="AH20">
            <v>-121.50000000000034</v>
          </cell>
          <cell r="AI20">
            <v>-122.49999999999943</v>
          </cell>
          <cell r="AJ20">
            <v>-120.00000000000028</v>
          </cell>
          <cell r="AK20">
            <v>-117.00000000000017</v>
          </cell>
          <cell r="AL20">
            <v>-127.49999999999915</v>
          </cell>
          <cell r="AM20">
            <v>-117.49999999999972</v>
          </cell>
          <cell r="AN20">
            <v>-122.99999999999898</v>
          </cell>
          <cell r="AO20">
            <v>-152.49999999999915</v>
          </cell>
          <cell r="AP20">
            <v>-146.50000000000034</v>
          </cell>
          <cell r="AQ20">
            <v>-154.99999999999972</v>
          </cell>
          <cell r="AR20">
            <v>-160.99999999999994</v>
          </cell>
          <cell r="AS20">
            <v>-153.50000000000108</v>
          </cell>
          <cell r="AT20">
            <v>-157.50000000000028</v>
          </cell>
          <cell r="AU20">
            <v>-168.50000000000023</v>
          </cell>
          <cell r="AV20">
            <v>-170.99999999999937</v>
          </cell>
          <cell r="AW20">
            <v>-174.50000000000045</v>
          </cell>
          <cell r="AX20">
            <v>-176.00000000000051</v>
          </cell>
          <cell r="AY20">
            <v>-181.99999999999932</v>
          </cell>
          <cell r="AZ20">
            <v>-176.00000000000051</v>
          </cell>
          <cell r="BA20">
            <v>-177.50000000000057</v>
          </cell>
          <cell r="BB20">
            <v>-187.99999999999955</v>
          </cell>
          <cell r="BC20">
            <v>-192.00000000000017</v>
          </cell>
          <cell r="BD20">
            <v>-185.99999999999994</v>
          </cell>
          <cell r="BE20">
            <v>-189.4999999999996</v>
          </cell>
          <cell r="BF20">
            <v>-185.99999999999994</v>
          </cell>
          <cell r="BG20">
            <v>-180.00000000000114</v>
          </cell>
          <cell r="BH20">
            <v>-176.50000000000006</v>
          </cell>
          <cell r="BI20">
            <v>-182.50000000000028</v>
          </cell>
          <cell r="BJ20">
            <v>-189.00000000000006</v>
          </cell>
          <cell r="BK20">
            <v>-181.99999999999932</v>
          </cell>
          <cell r="BL20">
            <v>-167.00000000000017</v>
          </cell>
          <cell r="BM20">
            <v>-163.50000000000051</v>
          </cell>
          <cell r="BN20">
            <v>-163.49999999999909</v>
          </cell>
          <cell r="BO20">
            <v>-162.99999999999955</v>
          </cell>
          <cell r="BP20">
            <v>-171.99999999999989</v>
          </cell>
          <cell r="BQ20">
            <v>-176.50000000000006</v>
          </cell>
          <cell r="BR20">
            <v>-180.49999999999926</v>
          </cell>
          <cell r="BS20">
            <v>-179.99999999999972</v>
          </cell>
          <cell r="BT20">
            <v>-181.00000000000023</v>
          </cell>
          <cell r="BU20">
            <v>-180.50000000000068</v>
          </cell>
          <cell r="BV20">
            <v>-175.50000000000097</v>
          </cell>
          <cell r="BW20">
            <v>-178.49999999999966</v>
          </cell>
          <cell r="BX20">
            <v>-182.99999999999983</v>
          </cell>
          <cell r="BY20">
            <v>-189.00000000000006</v>
          </cell>
          <cell r="BZ20">
            <v>-189.4999999999996</v>
          </cell>
          <cell r="CA20">
            <v>-178.00000000000011</v>
          </cell>
          <cell r="CB20">
            <v>-184.99999999999943</v>
          </cell>
          <cell r="CC20">
            <v>-185.99999999999994</v>
          </cell>
          <cell r="CD20">
            <v>-180.50000000000068</v>
          </cell>
          <cell r="CE20">
            <v>-182.99999999999983</v>
          </cell>
          <cell r="CF20">
            <v>-186.50000000000091</v>
          </cell>
          <cell r="CG20">
            <v>-186.99999999999903</v>
          </cell>
          <cell r="CH20">
            <v>-186.99999999999903</v>
          </cell>
          <cell r="CI20">
            <v>-185.49999999999898</v>
          </cell>
          <cell r="CJ20">
            <v>-189.99999999999915</v>
          </cell>
          <cell r="CK20">
            <v>-190.50000000000011</v>
          </cell>
          <cell r="CL20">
            <v>-192.00000000000017</v>
          </cell>
          <cell r="CM20">
            <v>-192.00000000000017</v>
          </cell>
          <cell r="CN20">
            <v>-193.99999999999977</v>
          </cell>
          <cell r="CO20">
            <v>-191.99999999999875</v>
          </cell>
          <cell r="CP20">
            <v>-193.50000000000023</v>
          </cell>
          <cell r="CQ20">
            <v>-195.00000000000028</v>
          </cell>
          <cell r="CR20">
            <v>-182.49999999999886</v>
          </cell>
          <cell r="CS20">
            <v>-185.99999999999994</v>
          </cell>
          <cell r="CT20">
            <v>-182.00000000000074</v>
          </cell>
          <cell r="CU20">
            <v>-182.49999999999886</v>
          </cell>
          <cell r="CV20">
            <v>-182.99999999999983</v>
          </cell>
          <cell r="CW20">
            <v>-176.00000000000051</v>
          </cell>
          <cell r="CX20">
            <v>-173.0000000000004</v>
          </cell>
          <cell r="CY20">
            <v>-167.49999999999972</v>
          </cell>
          <cell r="CZ20">
            <v>-168.50000000000023</v>
          </cell>
          <cell r="DA20">
            <v>-173.49999999999994</v>
          </cell>
          <cell r="DB20">
            <v>-179.50000000000017</v>
          </cell>
          <cell r="DC20">
            <v>-177.50000000000057</v>
          </cell>
          <cell r="DD20">
            <v>-170.00000000000028</v>
          </cell>
          <cell r="DE20">
            <v>-168.50000000000023</v>
          </cell>
          <cell r="DF20">
            <v>-162.5</v>
          </cell>
          <cell r="DG20">
            <v>-169.49999999999932</v>
          </cell>
          <cell r="DH20">
            <v>-168.00000000000068</v>
          </cell>
          <cell r="DI20">
            <v>-177.50000000000057</v>
          </cell>
          <cell r="DJ20">
            <v>-173.49999999999994</v>
          </cell>
          <cell r="DK20">
            <v>-167.00000000000017</v>
          </cell>
          <cell r="DL20">
            <v>-167.00000000000017</v>
          </cell>
          <cell r="DM20">
            <v>-170.00000000000028</v>
          </cell>
          <cell r="DN20">
            <v>-174.50000000000045</v>
          </cell>
          <cell r="DO20">
            <v>-175.49999999999955</v>
          </cell>
          <cell r="DP20">
            <v>-171.50000000000034</v>
          </cell>
          <cell r="DQ20">
            <v>-175.49999999999955</v>
          </cell>
          <cell r="DR20">
            <v>-173.49999999999994</v>
          </cell>
          <cell r="DS20">
            <v>-158.49999999999937</v>
          </cell>
          <cell r="DT20">
            <v>-156.49999999999977</v>
          </cell>
          <cell r="DU20">
            <v>-162.5</v>
          </cell>
          <cell r="DV20">
            <v>-140.99999999999966</v>
          </cell>
          <cell r="DW20">
            <v>-146.0000000000008</v>
          </cell>
          <cell r="DX20">
            <v>-149.50000000000045</v>
          </cell>
          <cell r="DY20">
            <v>-143.50000000000023</v>
          </cell>
          <cell r="DZ20">
            <v>-144.00000000000119</v>
          </cell>
          <cell r="EA20">
            <v>-148.49999999999994</v>
          </cell>
          <cell r="EB20">
            <v>-153.49999999999966</v>
          </cell>
          <cell r="EC20">
            <v>-145.99999999999937</v>
          </cell>
          <cell r="ED20">
            <v>-147.00000000000131</v>
          </cell>
          <cell r="EE20">
            <v>-145.00000000000028</v>
          </cell>
          <cell r="EF20">
            <v>-137.5</v>
          </cell>
          <cell r="EG20">
            <v>-136.49999999999949</v>
          </cell>
          <cell r="EH20">
            <v>-134.49999999999989</v>
          </cell>
          <cell r="EI20">
            <v>-132.99999999999983</v>
          </cell>
          <cell r="EJ20">
            <v>-126.9999999999996</v>
          </cell>
          <cell r="EK20">
            <v>-124.50000000000045</v>
          </cell>
          <cell r="EL20">
            <v>-123.99999999999949</v>
          </cell>
          <cell r="EM20">
            <v>-117.49999999999972</v>
          </cell>
          <cell r="EN20">
            <v>-121.0000000000008</v>
          </cell>
          <cell r="EO20">
            <v>-120.00000000000028</v>
          </cell>
          <cell r="EP20">
            <v>-117.49999999999972</v>
          </cell>
          <cell r="EQ20">
            <v>-115.50000000000011</v>
          </cell>
          <cell r="ER20">
            <v>-115.99999999999966</v>
          </cell>
          <cell r="ES20">
            <v>-109.49999999999989</v>
          </cell>
          <cell r="ET20">
            <v>-106.00000000000023</v>
          </cell>
          <cell r="EU20">
            <v>-106.49999999999977</v>
          </cell>
          <cell r="EV20">
            <v>-105.99999999999881</v>
          </cell>
          <cell r="EW20">
            <v>-99.499999999999034</v>
          </cell>
          <cell r="EX20">
            <v>-102.49999999999915</v>
          </cell>
          <cell r="EY20">
            <v>-98.499999999999943</v>
          </cell>
          <cell r="EZ20">
            <v>-99.500000000000455</v>
          </cell>
          <cell r="FA20">
            <v>-96.49999999999892</v>
          </cell>
          <cell r="FB20">
            <v>-87.5</v>
          </cell>
          <cell r="FC20">
            <v>-92.999999999999261</v>
          </cell>
          <cell r="FD20">
            <v>-86.499999999999488</v>
          </cell>
          <cell r="FE20">
            <v>-84.999999999999432</v>
          </cell>
          <cell r="FF20">
            <v>-87.5</v>
          </cell>
          <cell r="FG20">
            <v>-81.999999999999318</v>
          </cell>
          <cell r="FH20">
            <v>-84.000000000000341</v>
          </cell>
          <cell r="FI20">
            <v>-86.500000000000909</v>
          </cell>
          <cell r="FJ20">
            <v>-79.499999999998749</v>
          </cell>
          <cell r="FK20">
            <v>-82.999999999999829</v>
          </cell>
          <cell r="FL20">
            <v>-82.500000000000284</v>
          </cell>
          <cell r="FM20">
            <v>-82.999999999999829</v>
          </cell>
          <cell r="FN20">
            <v>-85.499999999998977</v>
          </cell>
          <cell r="FO20">
            <v>-87.000000000000455</v>
          </cell>
          <cell r="FP20">
            <v>-88.000000000000966</v>
          </cell>
          <cell r="FQ20">
            <v>-92.000000000000171</v>
          </cell>
          <cell r="FR20">
            <v>-86.999999999999034</v>
          </cell>
          <cell r="FS20">
            <v>-85.999999999999943</v>
          </cell>
          <cell r="FT20">
            <v>-83.500000000000796</v>
          </cell>
          <cell r="FU20">
            <v>-85.999999999999943</v>
          </cell>
          <cell r="FV20">
            <v>-88.000000000000966</v>
          </cell>
          <cell r="FW20">
            <v>-93.000000000000682</v>
          </cell>
          <cell r="FX20">
            <v>-89.499999999999602</v>
          </cell>
          <cell r="FY20">
            <v>-92.999999999999261</v>
          </cell>
          <cell r="FZ20">
            <v>-93.500000000000227</v>
          </cell>
          <cell r="GA20">
            <v>-95.500000000001251</v>
          </cell>
          <cell r="GB20">
            <v>-96.999999999999886</v>
          </cell>
          <cell r="GC20">
            <v>-92.999999999999261</v>
          </cell>
          <cell r="GD20">
            <v>-95.000000000000284</v>
          </cell>
          <cell r="GE20">
            <v>-93.500000000000227</v>
          </cell>
          <cell r="GF20">
            <v>-100.49999999999955</v>
          </cell>
          <cell r="GG20">
            <v>-100.49999999999955</v>
          </cell>
          <cell r="GH20">
            <v>-96.000000000000796</v>
          </cell>
          <cell r="GI20">
            <v>-92.000000000000171</v>
          </cell>
          <cell r="GJ20">
            <v>-86.000000000001364</v>
          </cell>
          <cell r="GK20">
            <v>-85.000000000000853</v>
          </cell>
          <cell r="GL20">
            <v>-101.00000000000051</v>
          </cell>
          <cell r="GM20">
            <v>-108.49999999999937</v>
          </cell>
          <cell r="GN20">
            <v>-109.49999999999989</v>
          </cell>
          <cell r="GO20">
            <v>-108.5000000000008</v>
          </cell>
          <cell r="GP20">
            <v>-106.49999999999977</v>
          </cell>
          <cell r="GQ20">
            <v>-112.00000000000045</v>
          </cell>
          <cell r="GR20">
            <v>-111.49999999999949</v>
          </cell>
          <cell r="GS20">
            <v>-110.00000000000085</v>
          </cell>
          <cell r="GT20">
            <v>-109.50000000000131</v>
          </cell>
          <cell r="GU20">
            <v>-110.5000000000004</v>
          </cell>
          <cell r="GV20">
            <v>-107.99999999999983</v>
          </cell>
          <cell r="GW20">
            <v>-101.00000000000051</v>
          </cell>
          <cell r="GX20">
            <v>-103.9999999999992</v>
          </cell>
          <cell r="GY20">
            <v>-103.49999999999966</v>
          </cell>
          <cell r="GZ20">
            <v>-96.49999999999892</v>
          </cell>
          <cell r="HA20">
            <v>-101.9999999999996</v>
          </cell>
          <cell r="HB20">
            <v>-106.00000000000023</v>
          </cell>
          <cell r="HC20">
            <v>-103.00000000000011</v>
          </cell>
          <cell r="HD20">
            <v>-104.49999999999875</v>
          </cell>
          <cell r="HE20">
            <v>-103.49999999999966</v>
          </cell>
          <cell r="HF20">
            <v>-106.50000000000119</v>
          </cell>
          <cell r="HG20">
            <v>-110.5000000000004</v>
          </cell>
          <cell r="HH20">
            <v>-115.50000000000011</v>
          </cell>
          <cell r="HI20">
            <v>-118.50000000000023</v>
          </cell>
          <cell r="HJ20">
            <v>-111.49999999999949</v>
          </cell>
          <cell r="HK20">
            <v>-110.49999999999898</v>
          </cell>
          <cell r="HL20">
            <v>-114.99999999999915</v>
          </cell>
          <cell r="HM20">
            <v>-110.49999999999898</v>
          </cell>
          <cell r="HN20">
            <v>-109.49999999999989</v>
          </cell>
          <cell r="HO20">
            <v>-112.5</v>
          </cell>
          <cell r="HP20">
            <v>-108.49999999999937</v>
          </cell>
          <cell r="HQ20">
            <v>-108.49999999999937</v>
          </cell>
          <cell r="HR20">
            <v>-109.99999999999943</v>
          </cell>
          <cell r="HS20">
            <v>-114.4999999999996</v>
          </cell>
          <cell r="HT20">
            <v>-112.00000000000045</v>
          </cell>
          <cell r="HU20">
            <v>-103.00000000000011</v>
          </cell>
          <cell r="HV20">
            <v>-110.00000000000085</v>
          </cell>
          <cell r="HW20">
            <v>-113.50000000000051</v>
          </cell>
          <cell r="HX20">
            <v>-117.00000000000017</v>
          </cell>
          <cell r="HY20">
            <v>-117.49999999999972</v>
          </cell>
          <cell r="HZ20">
            <v>-110.49999999999898</v>
          </cell>
          <cell r="IA20">
            <v>-118.50000000000023</v>
          </cell>
          <cell r="IB20">
            <v>-120.00000000000028</v>
          </cell>
          <cell r="IC20">
            <v>-123.99999999999949</v>
          </cell>
          <cell r="ID20">
            <v>-126.9999999999996</v>
          </cell>
          <cell r="IE20">
            <v>-130.49999999999926</v>
          </cell>
          <cell r="IF20">
            <v>-138.00000000000097</v>
          </cell>
          <cell r="IG20">
            <v>-138.49999999999909</v>
          </cell>
          <cell r="IH20">
            <v>-134.49999999999989</v>
          </cell>
          <cell r="II20">
            <v>-132.00000000000074</v>
          </cell>
          <cell r="IJ20">
            <v>-128.49999999999966</v>
          </cell>
          <cell r="IK20">
            <v>-131.99999999999932</v>
          </cell>
          <cell r="IL20">
            <v>-129.99999999999972</v>
          </cell>
          <cell r="IM20">
            <v>-129.00000000000063</v>
          </cell>
          <cell r="IN20">
            <v>-132.00000000000074</v>
          </cell>
          <cell r="IO20">
            <v>-134.49999999999989</v>
          </cell>
          <cell r="IP20">
            <v>-132.99999999999983</v>
          </cell>
          <cell r="IQ20">
            <v>-133.49999999999937</v>
          </cell>
          <cell r="IR20">
            <v>-140.50000000000011</v>
          </cell>
          <cell r="IS20">
            <v>-140.99999999999966</v>
          </cell>
          <cell r="IT20">
            <v>-139.00000000000006</v>
          </cell>
          <cell r="IU20">
            <v>-145.49999999999983</v>
          </cell>
          <cell r="IV20">
            <v>-145.49999999999983</v>
          </cell>
          <cell r="IW20">
            <v>-142.00000000000017</v>
          </cell>
          <cell r="IX20">
            <v>-139.4999999999996</v>
          </cell>
          <cell r="IY20">
            <v>-142.99999999999926</v>
          </cell>
          <cell r="IZ20">
            <v>-143.50000000000023</v>
          </cell>
          <cell r="JA20">
            <v>-154.50000000000017</v>
          </cell>
          <cell r="JB20">
            <v>-155.49999999999926</v>
          </cell>
          <cell r="JC20">
            <v>-156.49999999999977</v>
          </cell>
          <cell r="JD20">
            <v>-154.50000000000017</v>
          </cell>
          <cell r="JE20">
            <v>-151.50000000000006</v>
          </cell>
          <cell r="JF20">
            <v>-153.49999999999966</v>
          </cell>
          <cell r="JG20">
            <v>-156.49999999999977</v>
          </cell>
          <cell r="JH20">
            <v>-154.00000000000063</v>
          </cell>
          <cell r="JI20">
            <v>-159.49999999999989</v>
          </cell>
          <cell r="JJ20">
            <v>-154.00000000000063</v>
          </cell>
          <cell r="JK20">
            <v>-159.49999999999989</v>
          </cell>
          <cell r="JL20">
            <v>-162.5</v>
          </cell>
          <cell r="JM20">
            <v>-158.00000000000125</v>
          </cell>
          <cell r="JN20">
            <v>-156.00000000000023</v>
          </cell>
          <cell r="JO20">
            <v>-160.99999999999994</v>
          </cell>
          <cell r="JP20">
            <v>-144.50000000000074</v>
          </cell>
          <cell r="JQ20">
            <v>-142.99999999999926</v>
          </cell>
          <cell r="JR20">
            <v>-140.00000000000057</v>
          </cell>
          <cell r="JS20">
            <v>-137.99999999999955</v>
          </cell>
          <cell r="JT20">
            <v>-137.00000000000045</v>
          </cell>
          <cell r="JU20">
            <v>-139.4999999999996</v>
          </cell>
          <cell r="JV20">
            <v>-146.99999999999989</v>
          </cell>
          <cell r="JW20">
            <v>-131.49999999999977</v>
          </cell>
          <cell r="JX20">
            <v>-131.49999999999977</v>
          </cell>
          <cell r="JY20">
            <v>-131.49999999999977</v>
          </cell>
          <cell r="JZ20">
            <v>-129.50000000000017</v>
          </cell>
          <cell r="KA20">
            <v>-129.99999999999972</v>
          </cell>
          <cell r="KB20">
            <v>-131.49999999999977</v>
          </cell>
          <cell r="KC20">
            <v>-130.50000000000068</v>
          </cell>
          <cell r="KD20">
            <v>-126.50000000000006</v>
          </cell>
          <cell r="KE20">
            <v>-131.49999999999977</v>
          </cell>
          <cell r="KF20">
            <v>-134.49999999999989</v>
          </cell>
          <cell r="KG20">
            <v>-131.99999999999932</v>
          </cell>
          <cell r="KH20">
            <v>-130.50000000000068</v>
          </cell>
          <cell r="KI20">
            <v>-124.50000000000045</v>
          </cell>
          <cell r="KJ20">
            <v>-125</v>
          </cell>
          <cell r="KK20">
            <v>-120.99999999999937</v>
          </cell>
          <cell r="KL20">
            <v>-121.99999999999989</v>
          </cell>
          <cell r="KM20">
            <v>-116.50000000000063</v>
          </cell>
          <cell r="KN20">
            <v>-117.00000000000017</v>
          </cell>
          <cell r="KO20">
            <v>-120.99999999999937</v>
          </cell>
          <cell r="KP20">
            <v>-121.99999999999989</v>
          </cell>
          <cell r="KQ20">
            <v>-115.99999999999966</v>
          </cell>
          <cell r="KR20">
            <v>-123.0000000000004</v>
          </cell>
          <cell r="KS20">
            <v>-118.99999999999977</v>
          </cell>
          <cell r="KT20">
            <v>-123.49999999999994</v>
          </cell>
          <cell r="KU20">
            <v>-126.00000000000051</v>
          </cell>
          <cell r="KV20">
            <v>-128.50000000000108</v>
          </cell>
          <cell r="KW20">
            <v>-130.49999999999926</v>
          </cell>
          <cell r="KX20">
            <v>-129.49999999999875</v>
          </cell>
          <cell r="KY20">
            <v>-129.99999999999972</v>
          </cell>
        </row>
        <row r="30">
          <cell r="D30">
            <v>25</v>
          </cell>
          <cell r="E30">
            <v>22.500000000000853</v>
          </cell>
          <cell r="F30">
            <v>19.500000000000739</v>
          </cell>
          <cell r="G30">
            <v>33.99999999999892</v>
          </cell>
          <cell r="H30">
            <v>29.500000000000171</v>
          </cell>
          <cell r="I30">
            <v>29.500000000000171</v>
          </cell>
          <cell r="J30">
            <v>36.500000000000909</v>
          </cell>
          <cell r="K30">
            <v>26.500000000000057</v>
          </cell>
          <cell r="L30">
            <v>33.000000000001251</v>
          </cell>
          <cell r="M30">
            <v>19.000000000001194</v>
          </cell>
          <cell r="N30">
            <v>19.499999999999318</v>
          </cell>
          <cell r="O30">
            <v>17.499999999999716</v>
          </cell>
          <cell r="P30">
            <v>42.999999999999261</v>
          </cell>
          <cell r="Q30">
            <v>42.999999999999261</v>
          </cell>
          <cell r="R30">
            <v>42.499999999999716</v>
          </cell>
          <cell r="S30">
            <v>43.500000000000227</v>
          </cell>
          <cell r="T30">
            <v>39.499999999999602</v>
          </cell>
          <cell r="U30">
            <v>45.000000000000284</v>
          </cell>
          <cell r="V30">
            <v>40.500000000000114</v>
          </cell>
          <cell r="W30">
            <v>44.500000000000739</v>
          </cell>
          <cell r="X30">
            <v>40.500000000000114</v>
          </cell>
          <cell r="Y30">
            <v>38.500000000000512</v>
          </cell>
          <cell r="Z30">
            <v>45.999999999999375</v>
          </cell>
          <cell r="AA30">
            <v>35.999999999999943</v>
          </cell>
          <cell r="AB30">
            <v>42.499999999999716</v>
          </cell>
          <cell r="AC30">
            <v>42.499999999999716</v>
          </cell>
          <cell r="AD30">
            <v>35.999999999999943</v>
          </cell>
          <cell r="AE30">
            <v>29.500000000000171</v>
          </cell>
          <cell r="AF30">
            <v>23.499999999999943</v>
          </cell>
          <cell r="AG30">
            <v>26.999999999999602</v>
          </cell>
          <cell r="AH30">
            <v>37.000000000000455</v>
          </cell>
          <cell r="AI30">
            <v>34.499999999999886</v>
          </cell>
          <cell r="AJ30">
            <v>31.000000000000227</v>
          </cell>
          <cell r="AK30">
            <v>37.000000000000455</v>
          </cell>
          <cell r="AL30">
            <v>27.500000000000568</v>
          </cell>
          <cell r="AM30">
            <v>37.000000000000455</v>
          </cell>
          <cell r="AN30">
            <v>37.000000000000455</v>
          </cell>
          <cell r="AO30">
            <v>21.999999999999886</v>
          </cell>
          <cell r="AP30">
            <v>32.499999999998863</v>
          </cell>
          <cell r="AQ30">
            <v>22.000000000001307</v>
          </cell>
          <cell r="AR30">
            <v>19.499999999999318</v>
          </cell>
          <cell r="AS30">
            <v>20.999999999999375</v>
          </cell>
          <cell r="AT30">
            <v>14.999999999999147</v>
          </cell>
          <cell r="AU30">
            <v>9.4999999999998863</v>
          </cell>
          <cell r="AV30">
            <v>7.5000000000002842</v>
          </cell>
          <cell r="AW30">
            <v>1.9999999999996021</v>
          </cell>
          <cell r="AX30">
            <v>-2.5000000000005684</v>
          </cell>
          <cell r="AY30">
            <v>-9.4999999999998863</v>
          </cell>
          <cell r="AZ30">
            <v>-6.5000000000011937</v>
          </cell>
          <cell r="BA30">
            <v>-7.000000000000739</v>
          </cell>
          <cell r="BB30">
            <v>-18.500000000000227</v>
          </cell>
          <cell r="BC30">
            <v>-24.500000000000455</v>
          </cell>
          <cell r="BD30">
            <v>-15.500000000000114</v>
          </cell>
          <cell r="BE30">
            <v>-18.000000000000682</v>
          </cell>
          <cell r="BF30">
            <v>-14.499999999999602</v>
          </cell>
          <cell r="BG30">
            <v>-10.999999999999943</v>
          </cell>
          <cell r="BH30">
            <v>-10.999999999999943</v>
          </cell>
          <cell r="BI30">
            <v>-11.499999999999488</v>
          </cell>
          <cell r="BJ30">
            <v>-21.500000000000341</v>
          </cell>
          <cell r="BK30">
            <v>-15.000000000000568</v>
          </cell>
          <cell r="BL30">
            <v>-3.50000000000108</v>
          </cell>
          <cell r="BM30">
            <v>-2.4999999999991473</v>
          </cell>
          <cell r="BN30">
            <v>-0.99999999999909051</v>
          </cell>
          <cell r="BO30">
            <v>-1.5000000000000568</v>
          </cell>
          <cell r="BP30">
            <v>-6.0000000000002274</v>
          </cell>
          <cell r="BQ30">
            <v>-7.000000000000739</v>
          </cell>
          <cell r="BR30">
            <v>-7.5000000000002842</v>
          </cell>
          <cell r="BS30">
            <v>-6.4999999999997726</v>
          </cell>
          <cell r="BT30">
            <v>-1.0000000000005116</v>
          </cell>
          <cell r="BU30">
            <v>-4.0000000000006253</v>
          </cell>
          <cell r="BV30">
            <v>2.4999999999991473</v>
          </cell>
          <cell r="BW30">
            <v>4.9999999999997158</v>
          </cell>
          <cell r="BX30">
            <v>3.50000000000108</v>
          </cell>
          <cell r="BY30">
            <v>-1.0000000000005116</v>
          </cell>
          <cell r="BZ30">
            <v>-4.9999999999997158</v>
          </cell>
          <cell r="CA30">
            <v>6.4999999999997726</v>
          </cell>
          <cell r="CB30">
            <v>5.5000000000006821</v>
          </cell>
          <cell r="CC30">
            <v>-3.9999999999992042</v>
          </cell>
          <cell r="CD30">
            <v>-4.5000000000001705</v>
          </cell>
          <cell r="CE30">
            <v>-3.4999999999996589</v>
          </cell>
          <cell r="CF30">
            <v>-2.5000000000005684</v>
          </cell>
          <cell r="CG30">
            <v>-5.9999999999988063</v>
          </cell>
          <cell r="CH30">
            <v>-5.9999999999988063</v>
          </cell>
          <cell r="CI30">
            <v>0.50000000000096634</v>
          </cell>
          <cell r="CJ30">
            <v>-6.4999999999997726</v>
          </cell>
          <cell r="CK30">
            <v>-3.9999999999992042</v>
          </cell>
          <cell r="CL30">
            <v>-5.499999999999261</v>
          </cell>
          <cell r="CM30">
            <v>-5.499999999999261</v>
          </cell>
          <cell r="CN30">
            <v>-13.500000000000512</v>
          </cell>
          <cell r="CO30">
            <v>-11.499999999999488</v>
          </cell>
          <cell r="CP30">
            <v>-5.5000000000006821</v>
          </cell>
          <cell r="CQ30">
            <v>1.0000000000005116</v>
          </cell>
          <cell r="CR30">
            <v>11.500000000000909</v>
          </cell>
          <cell r="CS30">
            <v>-0.99999999999909051</v>
          </cell>
          <cell r="CT30">
            <v>-4.0000000000006253</v>
          </cell>
          <cell r="CU30">
            <v>-4.9999999999997158</v>
          </cell>
          <cell r="CV30">
            <v>-3.4999999999996589</v>
          </cell>
          <cell r="CW30">
            <v>5.9999999999988063</v>
          </cell>
          <cell r="CX30">
            <v>2.5000000000005684</v>
          </cell>
          <cell r="CY30">
            <v>11.499999999999488</v>
          </cell>
          <cell r="CZ30">
            <v>9.9999999999994316</v>
          </cell>
          <cell r="DA30">
            <v>7.5000000000002842</v>
          </cell>
          <cell r="DB30">
            <v>2.4999999999991473</v>
          </cell>
          <cell r="DC30">
            <v>6.0000000000002274</v>
          </cell>
          <cell r="DD30">
            <v>7.9999999999998295</v>
          </cell>
          <cell r="DE30">
            <v>8.4999999999993747</v>
          </cell>
          <cell r="DF30">
            <v>14.000000000000057</v>
          </cell>
          <cell r="DG30">
            <v>7.9999999999998295</v>
          </cell>
          <cell r="DH30">
            <v>7.9999999999998295</v>
          </cell>
          <cell r="DI30">
            <v>0</v>
          </cell>
          <cell r="DJ30">
            <v>2.5000000000005684</v>
          </cell>
          <cell r="DK30">
            <v>10.999999999999943</v>
          </cell>
          <cell r="DL30">
            <v>13.499999999999091</v>
          </cell>
          <cell r="DM30">
            <v>12.000000000000455</v>
          </cell>
          <cell r="DN30">
            <v>10.500000000000398</v>
          </cell>
          <cell r="DO30">
            <v>14.499999999999602</v>
          </cell>
          <cell r="DP30">
            <v>20.000000000000284</v>
          </cell>
          <cell r="DQ30">
            <v>15.000000000000568</v>
          </cell>
          <cell r="DR30">
            <v>10.500000000000398</v>
          </cell>
          <cell r="DS30">
            <v>18.500000000000227</v>
          </cell>
          <cell r="DT30">
            <v>21.999999999999886</v>
          </cell>
          <cell r="DU30">
            <v>25.999999999999091</v>
          </cell>
          <cell r="DV30">
            <v>35.999999999999943</v>
          </cell>
          <cell r="DW30">
            <v>25</v>
          </cell>
          <cell r="DX30">
            <v>22.499999999999432</v>
          </cell>
          <cell r="DY30">
            <v>30.500000000000682</v>
          </cell>
          <cell r="DZ30">
            <v>19.999999999998863</v>
          </cell>
          <cell r="EA30">
            <v>20.000000000000284</v>
          </cell>
          <cell r="EB30">
            <v>14.000000000000057</v>
          </cell>
          <cell r="EC30">
            <v>15.000000000000568</v>
          </cell>
          <cell r="ED30">
            <v>14.000000000000057</v>
          </cell>
          <cell r="EE30">
            <v>9.4999999999998863</v>
          </cell>
          <cell r="EF30">
            <v>9.4999999999998863</v>
          </cell>
          <cell r="EG30">
            <v>8.5000000000007958</v>
          </cell>
          <cell r="EH30">
            <v>15.000000000000568</v>
          </cell>
          <cell r="EI30">
            <v>18.499999999998806</v>
          </cell>
          <cell r="EJ30">
            <v>20.999999999999375</v>
          </cell>
          <cell r="EK30">
            <v>31.499999999999773</v>
          </cell>
          <cell r="EL30">
            <v>30.500000000000682</v>
          </cell>
          <cell r="EM30">
            <v>33.499999999999375</v>
          </cell>
          <cell r="EN30">
            <v>31.000000000000227</v>
          </cell>
          <cell r="EO30">
            <v>29.000000000000625</v>
          </cell>
          <cell r="EP30">
            <v>33.499999999999375</v>
          </cell>
          <cell r="EQ30">
            <v>35.500000000000398</v>
          </cell>
          <cell r="ER30">
            <v>32.999999999999829</v>
          </cell>
          <cell r="ES30">
            <v>31.999999999999318</v>
          </cell>
          <cell r="ET30">
            <v>43.499999999998806</v>
          </cell>
          <cell r="EU30">
            <v>37.000000000000455</v>
          </cell>
          <cell r="EV30">
            <v>36.000000000001364</v>
          </cell>
          <cell r="EW30">
            <v>39.500000000001023</v>
          </cell>
          <cell r="EX30">
            <v>36.000000000001364</v>
          </cell>
          <cell r="EY30">
            <v>38.499999999999091</v>
          </cell>
          <cell r="EZ30">
            <v>37.999999999999545</v>
          </cell>
          <cell r="FA30">
            <v>34.499999999999886</v>
          </cell>
          <cell r="FB30">
            <v>35.500000000000398</v>
          </cell>
          <cell r="FC30">
            <v>32.999999999999829</v>
          </cell>
          <cell r="FD30">
            <v>32.000000000000739</v>
          </cell>
          <cell r="FE30">
            <v>30.500000000000682</v>
          </cell>
          <cell r="FF30">
            <v>29.999999999999716</v>
          </cell>
          <cell r="FG30">
            <v>32.000000000000739</v>
          </cell>
          <cell r="FH30">
            <v>31.499999999999773</v>
          </cell>
          <cell r="FI30">
            <v>31.999999999999318</v>
          </cell>
          <cell r="FJ30">
            <v>43.000000000000682</v>
          </cell>
          <cell r="FK30">
            <v>41.500000000000625</v>
          </cell>
          <cell r="FL30">
            <v>45.999999999999375</v>
          </cell>
          <cell r="FM30">
            <v>45.000000000000284</v>
          </cell>
          <cell r="FN30">
            <v>43.000000000000682</v>
          </cell>
          <cell r="FO30">
            <v>40.999999999999659</v>
          </cell>
          <cell r="FP30">
            <v>40.500000000000114</v>
          </cell>
          <cell r="FQ30">
            <v>37.5</v>
          </cell>
          <cell r="FR30">
            <v>45.000000000000284</v>
          </cell>
          <cell r="FS30">
            <v>46.500000000000341</v>
          </cell>
          <cell r="FT30">
            <v>46.999999999999886</v>
          </cell>
          <cell r="FU30">
            <v>39.999999999999147</v>
          </cell>
          <cell r="FV30">
            <v>40.499999999998693</v>
          </cell>
          <cell r="FW30">
            <v>35.999999999999943</v>
          </cell>
          <cell r="FX30">
            <v>38.000000000000966</v>
          </cell>
          <cell r="FY30">
            <v>34.499999999999886</v>
          </cell>
          <cell r="FZ30">
            <v>29.499999999998749</v>
          </cell>
          <cell r="GA30">
            <v>24.499999999999034</v>
          </cell>
          <cell r="GB30">
            <v>21.999999999999886</v>
          </cell>
          <cell r="GC30">
            <v>23.500000000001364</v>
          </cell>
          <cell r="GD30">
            <v>26.500000000000057</v>
          </cell>
          <cell r="GE30">
            <v>26.500000000000057</v>
          </cell>
          <cell r="GF30">
            <v>19.500000000000739</v>
          </cell>
          <cell r="GG30">
            <v>18.500000000000227</v>
          </cell>
          <cell r="GH30">
            <v>21.500000000000341</v>
          </cell>
          <cell r="GI30">
            <v>25</v>
          </cell>
          <cell r="GJ30">
            <v>26.499999999998636</v>
          </cell>
          <cell r="GK30">
            <v>27.499999999999147</v>
          </cell>
          <cell r="GL30">
            <v>10.499999999998977</v>
          </cell>
          <cell r="GM30">
            <v>9.4999999999998863</v>
          </cell>
          <cell r="GN30">
            <v>12.000000000000455</v>
          </cell>
          <cell r="GO30">
            <v>9.4999999999998863</v>
          </cell>
          <cell r="GP30">
            <v>11.000000000001364</v>
          </cell>
          <cell r="GQ30">
            <v>8.4999999999993747</v>
          </cell>
          <cell r="GR30">
            <v>9.9999999999994316</v>
          </cell>
          <cell r="GS30">
            <v>12.5</v>
          </cell>
          <cell r="GT30">
            <v>8.4999999999993747</v>
          </cell>
          <cell r="GU30">
            <v>5.499999999999261</v>
          </cell>
          <cell r="GV30">
            <v>7.000000000000739</v>
          </cell>
          <cell r="GW30">
            <v>16.499999999999204</v>
          </cell>
          <cell r="GX30">
            <v>10.000000000000853</v>
          </cell>
          <cell r="GY30">
            <v>7.9999999999998295</v>
          </cell>
          <cell r="GZ30">
            <v>12.5</v>
          </cell>
          <cell r="HA30">
            <v>7.5000000000002842</v>
          </cell>
          <cell r="HB30">
            <v>2.5000000000005684</v>
          </cell>
          <cell r="HC30">
            <v>4.9999999999997158</v>
          </cell>
          <cell r="HD30">
            <v>2.5000000000005684</v>
          </cell>
          <cell r="HE30">
            <v>4.0000000000006253</v>
          </cell>
          <cell r="HF30">
            <v>1.4999999999986358</v>
          </cell>
          <cell r="HG30">
            <v>-2.5000000000005684</v>
          </cell>
          <cell r="HH30">
            <v>-6.4999999999997726</v>
          </cell>
          <cell r="HI30">
            <v>-9.4999999999998863</v>
          </cell>
          <cell r="HJ30">
            <v>-1.9999999999996021</v>
          </cell>
          <cell r="HK30">
            <v>-0.99999999999909051</v>
          </cell>
          <cell r="HL30">
            <v>-4.5000000000001705</v>
          </cell>
          <cell r="HM30">
            <v>-3.4999999999996589</v>
          </cell>
          <cell r="HN30">
            <v>-4.0000000000006253</v>
          </cell>
          <cell r="HO30">
            <v>-7.9999999999998295</v>
          </cell>
          <cell r="HP30">
            <v>-9.4999999999998863</v>
          </cell>
          <cell r="HQ30">
            <v>-2.9999999999986926</v>
          </cell>
          <cell r="HR30">
            <v>-3.4999999999996589</v>
          </cell>
          <cell r="HS30">
            <v>-4.9999999999997158</v>
          </cell>
          <cell r="HT30">
            <v>-0.99999999999909051</v>
          </cell>
          <cell r="HU30">
            <v>7.5000000000002842</v>
          </cell>
          <cell r="HV30">
            <v>0.49999999999954525</v>
          </cell>
          <cell r="HW30">
            <v>3.0000000000001137</v>
          </cell>
          <cell r="HX30">
            <v>0.99999999999909051</v>
          </cell>
          <cell r="HY30">
            <v>-1.4999999999986358</v>
          </cell>
          <cell r="HZ30">
            <v>4.5000000000001705</v>
          </cell>
          <cell r="IA30">
            <v>4.9999999999997158</v>
          </cell>
          <cell r="IB30">
            <v>0.99999999999909051</v>
          </cell>
          <cell r="IC30">
            <v>-2.4999999999991473</v>
          </cell>
          <cell r="ID30">
            <v>-7.5000000000002842</v>
          </cell>
          <cell r="IE30">
            <v>-6.9999999999993179</v>
          </cell>
          <cell r="IF30">
            <v>-13.500000000000512</v>
          </cell>
          <cell r="IG30">
            <v>-17.999999999999261</v>
          </cell>
          <cell r="IH30">
            <v>-12.5</v>
          </cell>
          <cell r="II30">
            <v>-12.5</v>
          </cell>
          <cell r="IJ30">
            <v>-11.499999999999488</v>
          </cell>
          <cell r="IK30">
            <v>-9.0000000000003411</v>
          </cell>
          <cell r="IL30">
            <v>-14.499999999999602</v>
          </cell>
          <cell r="IM30">
            <v>-14.000000000000057</v>
          </cell>
          <cell r="IN30">
            <v>-19.500000000000739</v>
          </cell>
          <cell r="IO30">
            <v>-20.499999999999829</v>
          </cell>
          <cell r="IP30">
            <v>-16.500000000000625</v>
          </cell>
          <cell r="IQ30">
            <v>-18.499999999998806</v>
          </cell>
          <cell r="IR30">
            <v>-22.999999999998977</v>
          </cell>
          <cell r="IS30">
            <v>-27.499999999999147</v>
          </cell>
          <cell r="IT30">
            <v>-24.000000000000909</v>
          </cell>
          <cell r="IU30">
            <v>-25</v>
          </cell>
          <cell r="IV30">
            <v>-21.49999999999892</v>
          </cell>
          <cell r="IW30">
            <v>-11.999999999999034</v>
          </cell>
          <cell r="IX30">
            <v>-12.999999999999545</v>
          </cell>
          <cell r="IY30">
            <v>-14.999999999999147</v>
          </cell>
          <cell r="IZ30">
            <v>-7.5000000000002842</v>
          </cell>
          <cell r="JA30">
            <v>-19.499999999999318</v>
          </cell>
          <cell r="JB30">
            <v>-20.000000000000284</v>
          </cell>
          <cell r="JC30">
            <v>-22.999999999998977</v>
          </cell>
          <cell r="JD30">
            <v>-23.999999999999488</v>
          </cell>
          <cell r="JE30">
            <v>-21.500000000000341</v>
          </cell>
          <cell r="JF30">
            <v>-23.999999999999488</v>
          </cell>
          <cell r="JG30">
            <v>-30.499999999999261</v>
          </cell>
          <cell r="JH30">
            <v>-25.500000000000966</v>
          </cell>
          <cell r="JI30">
            <v>-26.500000000000057</v>
          </cell>
          <cell r="JJ30">
            <v>-17.000000000000171</v>
          </cell>
          <cell r="JK30">
            <v>-25</v>
          </cell>
          <cell r="JL30">
            <v>-28.999999999999204</v>
          </cell>
          <cell r="JM30">
            <v>-26.000000000000512</v>
          </cell>
          <cell r="JN30">
            <v>-27.000000000001023</v>
          </cell>
          <cell r="JO30">
            <v>-35.999999999999943</v>
          </cell>
          <cell r="JP30">
            <v>-25</v>
          </cell>
          <cell r="JQ30">
            <v>-23.499999999999943</v>
          </cell>
          <cell r="JR30">
            <v>-19.500000000000739</v>
          </cell>
          <cell r="JS30">
            <v>-18.500000000000227</v>
          </cell>
          <cell r="JT30">
            <v>-17.499999999999716</v>
          </cell>
          <cell r="JU30">
            <v>-18.999999999999773</v>
          </cell>
          <cell r="JV30">
            <v>-29.499999999998749</v>
          </cell>
          <cell r="JW30">
            <v>-13.999999999998636</v>
          </cell>
          <cell r="JX30">
            <v>-13.999999999998636</v>
          </cell>
          <cell r="JY30">
            <v>-11.500000000000909</v>
          </cell>
          <cell r="JZ30">
            <v>-11.500000000000909</v>
          </cell>
          <cell r="KA30">
            <v>-13.499999999999091</v>
          </cell>
          <cell r="KB30">
            <v>-15.500000000000114</v>
          </cell>
          <cell r="KC30">
            <v>-15.500000000000114</v>
          </cell>
          <cell r="KD30">
            <v>-9.9999999999994316</v>
          </cell>
          <cell r="KE30">
            <v>-9.4999999999998863</v>
          </cell>
          <cell r="KF30">
            <v>-9.9999999999994316</v>
          </cell>
          <cell r="KG30">
            <v>-6.9999999999993179</v>
          </cell>
          <cell r="KH30">
            <v>-7.9999999999998295</v>
          </cell>
          <cell r="KI30">
            <v>-1.0000000000005116</v>
          </cell>
          <cell r="KJ30">
            <v>-6.9999999999993179</v>
          </cell>
          <cell r="KK30">
            <v>2.5000000000005684</v>
          </cell>
          <cell r="KL30">
            <v>7.5000000000002842</v>
          </cell>
          <cell r="KM30">
            <v>10.999999999999943</v>
          </cell>
          <cell r="KN30">
            <v>6.9999999999993179</v>
          </cell>
          <cell r="KO30">
            <v>7.5000000000002842</v>
          </cell>
          <cell r="KP30">
            <v>9.9999999999994316</v>
          </cell>
          <cell r="KQ30">
            <v>8.4999999999993747</v>
          </cell>
          <cell r="KR30">
            <v>3.4999999999996589</v>
          </cell>
          <cell r="KS30">
            <v>9.0000000000003411</v>
          </cell>
          <cell r="KT30">
            <v>4.9999999999997158</v>
          </cell>
          <cell r="KU30">
            <v>1.9999999999996021</v>
          </cell>
          <cell r="KV30">
            <v>-0.50000000000096634</v>
          </cell>
          <cell r="KW30">
            <v>-4.5000000000001705</v>
          </cell>
          <cell r="KX30">
            <v>-5.499999999999261</v>
          </cell>
          <cell r="KY30">
            <v>-8.4999999999993747</v>
          </cell>
        </row>
        <row r="40">
          <cell r="D40">
            <v>4.0000000000006253</v>
          </cell>
          <cell r="E40">
            <v>5.499999999999261</v>
          </cell>
          <cell r="F40">
            <v>2.5000000000005684</v>
          </cell>
          <cell r="G40">
            <v>9.9999999999994316</v>
          </cell>
          <cell r="H40">
            <v>3.4999999999996589</v>
          </cell>
          <cell r="I40">
            <v>3.4999999999996589</v>
          </cell>
          <cell r="J40">
            <v>2.5000000000005684</v>
          </cell>
          <cell r="K40">
            <v>3.0000000000001137</v>
          </cell>
          <cell r="L40">
            <v>5.9999999999988063</v>
          </cell>
          <cell r="M40">
            <v>7.5000000000002842</v>
          </cell>
          <cell r="N40">
            <v>4.9999999999997158</v>
          </cell>
          <cell r="O40">
            <v>-3.0000000000001137</v>
          </cell>
          <cell r="P40">
            <v>6.4999999999997726</v>
          </cell>
          <cell r="Q40">
            <v>4.5000000000001705</v>
          </cell>
          <cell r="R40">
            <v>3.50000000000108</v>
          </cell>
          <cell r="S40">
            <v>2.9999999999986926</v>
          </cell>
          <cell r="T40">
            <v>0</v>
          </cell>
          <cell r="U40">
            <v>0</v>
          </cell>
          <cell r="V40">
            <v>1.0000000000005116</v>
          </cell>
          <cell r="W40">
            <v>-1.9999999999996021</v>
          </cell>
          <cell r="X40">
            <v>-3.0000000000001137</v>
          </cell>
          <cell r="Y40">
            <v>-1.9999999999996021</v>
          </cell>
          <cell r="Z40">
            <v>1.4999999999986358</v>
          </cell>
          <cell r="AA40">
            <v>1.5000000000000568</v>
          </cell>
          <cell r="AB40">
            <v>3.4999999999996589</v>
          </cell>
          <cell r="AC40">
            <v>4.0000000000006253</v>
          </cell>
          <cell r="AD40">
            <v>1.4999999999986358</v>
          </cell>
          <cell r="AE40">
            <v>-2.0000000000010232</v>
          </cell>
          <cell r="AF40">
            <v>0</v>
          </cell>
          <cell r="AG40">
            <v>0</v>
          </cell>
          <cell r="AH40">
            <v>1.9999999999996021</v>
          </cell>
          <cell r="AI40">
            <v>1.9999999999996021</v>
          </cell>
          <cell r="AJ40">
            <v>4.5000000000001705</v>
          </cell>
          <cell r="AK40">
            <v>5.9999999999988063</v>
          </cell>
          <cell r="AL40">
            <v>8.0000000000012506</v>
          </cell>
          <cell r="AM40">
            <v>5.499999999999261</v>
          </cell>
          <cell r="AN40">
            <v>4.9999999999997158</v>
          </cell>
          <cell r="AO40">
            <v>5.5000000000006821</v>
          </cell>
          <cell r="AP40">
            <v>1.5000000000000568</v>
          </cell>
          <cell r="AQ40">
            <v>2.9999999999986926</v>
          </cell>
          <cell r="AR40">
            <v>-1.5000000000014779</v>
          </cell>
          <cell r="AS40">
            <v>-1.5000000000000568</v>
          </cell>
          <cell r="AT40">
            <v>1.4999999999986358</v>
          </cell>
          <cell r="AU40">
            <v>3.4999999999996589</v>
          </cell>
          <cell r="AV40">
            <v>3.4999999999996589</v>
          </cell>
          <cell r="AW40">
            <v>0</v>
          </cell>
          <cell r="AX40">
            <v>3.4999999999996589</v>
          </cell>
          <cell r="AY40">
            <v>4.0000000000020464</v>
          </cell>
          <cell r="AZ40">
            <v>3.0000000000001137</v>
          </cell>
          <cell r="BA40">
            <v>2.9999999999986926</v>
          </cell>
          <cell r="BB40">
            <v>3.9999999999992042</v>
          </cell>
          <cell r="BC40">
            <v>6.0000000000002274</v>
          </cell>
          <cell r="BD40">
            <v>3.4999999999996589</v>
          </cell>
          <cell r="BE40">
            <v>3.9999999999992042</v>
          </cell>
          <cell r="BF40">
            <v>4.9999999999997158</v>
          </cell>
          <cell r="BG40">
            <v>4.5000000000015916</v>
          </cell>
          <cell r="BH40">
            <v>6.4999999999997726</v>
          </cell>
          <cell r="BI40">
            <v>7.5000000000002842</v>
          </cell>
          <cell r="BJ40">
            <v>9.0000000000017621</v>
          </cell>
          <cell r="BK40">
            <v>11.499999999999488</v>
          </cell>
          <cell r="BL40">
            <v>10.499999999998977</v>
          </cell>
          <cell r="BM40">
            <v>10.499999999998977</v>
          </cell>
          <cell r="BN40">
            <v>13.000000000000966</v>
          </cell>
          <cell r="BO40">
            <v>12.5</v>
          </cell>
          <cell r="BP40">
            <v>13.000000000000966</v>
          </cell>
          <cell r="BQ40">
            <v>12.000000000000455</v>
          </cell>
          <cell r="BR40">
            <v>12.5</v>
          </cell>
          <cell r="BS40">
            <v>11.500000000000909</v>
          </cell>
          <cell r="BT40">
            <v>11.999999999999034</v>
          </cell>
          <cell r="BU40">
            <v>11.500000000000909</v>
          </cell>
          <cell r="BV40">
            <v>12.5</v>
          </cell>
          <cell r="BW40">
            <v>15.500000000000114</v>
          </cell>
          <cell r="BX40">
            <v>18.500000000001648</v>
          </cell>
          <cell r="BY40">
            <v>14.999999999999147</v>
          </cell>
          <cell r="BZ40">
            <v>14.000000000000057</v>
          </cell>
          <cell r="CA40">
            <v>15.500000000000114</v>
          </cell>
          <cell r="CB40">
            <v>15.500000000000114</v>
          </cell>
          <cell r="CC40">
            <v>15.999999999998238</v>
          </cell>
          <cell r="CD40">
            <v>15.500000000000114</v>
          </cell>
          <cell r="CE40">
            <v>11.999999999999034</v>
          </cell>
          <cell r="CF40">
            <v>13.500000000000512</v>
          </cell>
          <cell r="CG40">
            <v>14.999999999999147</v>
          </cell>
          <cell r="CH40">
            <v>14.999999999999147</v>
          </cell>
          <cell r="CI40">
            <v>13.500000000000512</v>
          </cell>
          <cell r="CJ40">
            <v>12.5</v>
          </cell>
          <cell r="CK40">
            <v>10.000000000000853</v>
          </cell>
          <cell r="CL40">
            <v>11.500000000000909</v>
          </cell>
          <cell r="CM40">
            <v>11.500000000000909</v>
          </cell>
          <cell r="CN40">
            <v>11.999999999999034</v>
          </cell>
          <cell r="CO40">
            <v>10.499999999998977</v>
          </cell>
          <cell r="CP40">
            <v>11.500000000000909</v>
          </cell>
          <cell r="CQ40">
            <v>7.5000000000002842</v>
          </cell>
          <cell r="CR40">
            <v>10.499999999998977</v>
          </cell>
          <cell r="CS40">
            <v>7.5000000000002842</v>
          </cell>
          <cell r="CT40">
            <v>6.4999999999983515</v>
          </cell>
          <cell r="CU40">
            <v>9.9999999999994316</v>
          </cell>
          <cell r="CV40">
            <v>10.000000000000853</v>
          </cell>
          <cell r="CW40">
            <v>7.000000000000739</v>
          </cell>
          <cell r="CX40">
            <v>8.4999999999993747</v>
          </cell>
          <cell r="CY40">
            <v>8.99999999999892</v>
          </cell>
          <cell r="CZ40">
            <v>8.99999999999892</v>
          </cell>
          <cell r="DA40">
            <v>8.5000000000007958</v>
          </cell>
          <cell r="DB40">
            <v>6.4999999999997726</v>
          </cell>
          <cell r="DC40">
            <v>4.9999999999997158</v>
          </cell>
          <cell r="DD40">
            <v>6.9999999999993179</v>
          </cell>
          <cell r="DE40">
            <v>7.000000000000739</v>
          </cell>
          <cell r="DF40">
            <v>6.5000000000011937</v>
          </cell>
          <cell r="DG40">
            <v>7.000000000000739</v>
          </cell>
          <cell r="DH40">
            <v>4.5000000000015916</v>
          </cell>
          <cell r="DI40">
            <v>2.9999999999986926</v>
          </cell>
          <cell r="DJ40">
            <v>5.9999999999988063</v>
          </cell>
          <cell r="DK40">
            <v>6.4999999999997726</v>
          </cell>
          <cell r="DL40">
            <v>9.9999999999994316</v>
          </cell>
          <cell r="DM40">
            <v>8.5000000000007958</v>
          </cell>
          <cell r="DN40">
            <v>7.5000000000002842</v>
          </cell>
          <cell r="DO40">
            <v>7.5000000000002842</v>
          </cell>
          <cell r="DP40">
            <v>9.5000000000013074</v>
          </cell>
          <cell r="DQ40">
            <v>6.9999999999993179</v>
          </cell>
          <cell r="DR40">
            <v>7.000000000000739</v>
          </cell>
          <cell r="DS40">
            <v>7.9999999999998295</v>
          </cell>
          <cell r="DT40">
            <v>9.9999999999994316</v>
          </cell>
          <cell r="DU40">
            <v>9.9999999999994316</v>
          </cell>
          <cell r="DV40">
            <v>10.999999999999943</v>
          </cell>
          <cell r="DW40">
            <v>14.000000000000057</v>
          </cell>
          <cell r="DX40">
            <v>12.5</v>
          </cell>
          <cell r="DY40">
            <v>14.500000000001023</v>
          </cell>
          <cell r="DZ40">
            <v>10.500000000001819</v>
          </cell>
          <cell r="EA40">
            <v>6.0000000000002274</v>
          </cell>
          <cell r="EB40">
            <v>3.4999999999996589</v>
          </cell>
          <cell r="EC40">
            <v>3.9999999999992042</v>
          </cell>
          <cell r="ED40">
            <v>4.9999999999997158</v>
          </cell>
          <cell r="EE40">
            <v>3.4999999999996589</v>
          </cell>
          <cell r="EF40">
            <v>4.9999999999997158</v>
          </cell>
          <cell r="EG40">
            <v>4.9999999999982947</v>
          </cell>
          <cell r="EH40">
            <v>4.5000000000001705</v>
          </cell>
          <cell r="EI40">
            <v>3.4999999999996589</v>
          </cell>
          <cell r="EJ40">
            <v>4.0000000000006253</v>
          </cell>
          <cell r="EK40">
            <v>5.499999999999261</v>
          </cell>
          <cell r="EL40">
            <v>6.0000000000002274</v>
          </cell>
          <cell r="EM40">
            <v>7.9999999999998295</v>
          </cell>
          <cell r="EN40">
            <v>7.000000000000739</v>
          </cell>
          <cell r="EO40">
            <v>7.000000000000739</v>
          </cell>
          <cell r="EP40">
            <v>5.9999999999988063</v>
          </cell>
          <cell r="EQ40">
            <v>4.5000000000001705</v>
          </cell>
          <cell r="ER40">
            <v>7.5000000000002842</v>
          </cell>
          <cell r="ES40">
            <v>8.4999999999993747</v>
          </cell>
          <cell r="ET40">
            <v>9.0000000000003411</v>
          </cell>
          <cell r="EU40">
            <v>11.499999999999488</v>
          </cell>
          <cell r="EV40">
            <v>11.499999999998067</v>
          </cell>
          <cell r="EW40">
            <v>10.499999999998977</v>
          </cell>
          <cell r="EX40">
            <v>9.4999999999998863</v>
          </cell>
          <cell r="EY40">
            <v>12.5</v>
          </cell>
          <cell r="EZ40">
            <v>12.999999999999545</v>
          </cell>
          <cell r="FA40">
            <v>12.5</v>
          </cell>
          <cell r="FB40">
            <v>12.999999999999545</v>
          </cell>
          <cell r="FC40">
            <v>12.5</v>
          </cell>
          <cell r="FD40">
            <v>12.500000000001421</v>
          </cell>
          <cell r="FE40">
            <v>11.500000000000909</v>
          </cell>
          <cell r="FF40">
            <v>10.499999999998977</v>
          </cell>
          <cell r="FG40">
            <v>11.999999999999034</v>
          </cell>
          <cell r="FH40">
            <v>12.999999999999545</v>
          </cell>
          <cell r="FI40">
            <v>10.500000000000398</v>
          </cell>
          <cell r="FJ40">
            <v>12.999999999999545</v>
          </cell>
          <cell r="FK40">
            <v>12.000000000000455</v>
          </cell>
          <cell r="FL40">
            <v>16.00000000000108</v>
          </cell>
          <cell r="FM40">
            <v>12.499999999998579</v>
          </cell>
          <cell r="FN40">
            <v>13.499999999999091</v>
          </cell>
          <cell r="FO40">
            <v>12.5</v>
          </cell>
          <cell r="FP40">
            <v>14.000000000000057</v>
          </cell>
          <cell r="FQ40">
            <v>14.000000000000057</v>
          </cell>
          <cell r="FR40">
            <v>12.999999999999545</v>
          </cell>
          <cell r="FS40">
            <v>12.999999999999545</v>
          </cell>
          <cell r="FT40">
            <v>12.000000000000455</v>
          </cell>
          <cell r="FU40">
            <v>12.5</v>
          </cell>
          <cell r="FV40">
            <v>12.000000000000455</v>
          </cell>
          <cell r="FW40">
            <v>12.5</v>
          </cell>
          <cell r="FX40">
            <v>13.500000000000512</v>
          </cell>
          <cell r="FY40">
            <v>10.999999999999943</v>
          </cell>
          <cell r="FZ40">
            <v>11.000000000001364</v>
          </cell>
          <cell r="GA40">
            <v>11.999999999999034</v>
          </cell>
          <cell r="GB40">
            <v>10.000000000000853</v>
          </cell>
          <cell r="GC40">
            <v>12.499999999998579</v>
          </cell>
          <cell r="GD40">
            <v>12.999999999999545</v>
          </cell>
          <cell r="GE40">
            <v>12.5</v>
          </cell>
          <cell r="GF40">
            <v>10.500000000000398</v>
          </cell>
          <cell r="GG40">
            <v>14.000000000000057</v>
          </cell>
          <cell r="GH40">
            <v>13.999999999998636</v>
          </cell>
          <cell r="GI40">
            <v>15.500000000000114</v>
          </cell>
          <cell r="GJ40">
            <v>13.499999999999091</v>
          </cell>
          <cell r="GK40">
            <v>12.000000000000455</v>
          </cell>
          <cell r="GL40">
            <v>10.000000000000853</v>
          </cell>
          <cell r="GM40">
            <v>7.9999999999998295</v>
          </cell>
          <cell r="GN40">
            <v>8.5000000000007958</v>
          </cell>
          <cell r="GO40">
            <v>9.0000000000003411</v>
          </cell>
          <cell r="GP40">
            <v>9.0000000000017621</v>
          </cell>
          <cell r="GQ40">
            <v>9.0000000000003411</v>
          </cell>
          <cell r="GR40">
            <v>11.000000000001364</v>
          </cell>
          <cell r="GS40">
            <v>10.000000000000853</v>
          </cell>
          <cell r="GT40">
            <v>10.500000000000398</v>
          </cell>
          <cell r="GU40">
            <v>8.4999999999993747</v>
          </cell>
          <cell r="GV40">
            <v>9.5000000000013074</v>
          </cell>
          <cell r="GW40">
            <v>9.4999999999998863</v>
          </cell>
          <cell r="GX40">
            <v>9.9999999999994316</v>
          </cell>
          <cell r="GY40">
            <v>13.500000000000512</v>
          </cell>
          <cell r="GZ40">
            <v>12.5</v>
          </cell>
          <cell r="HA40">
            <v>10.500000000000398</v>
          </cell>
          <cell r="HB40">
            <v>7.9999999999998295</v>
          </cell>
          <cell r="HC40">
            <v>10.000000000000853</v>
          </cell>
          <cell r="HD40">
            <v>9.0000000000003411</v>
          </cell>
          <cell r="HE40">
            <v>9.4999999999998863</v>
          </cell>
          <cell r="HF40">
            <v>7.4999999999988631</v>
          </cell>
          <cell r="HG40">
            <v>7.5000000000002842</v>
          </cell>
          <cell r="HH40">
            <v>9.0000000000017621</v>
          </cell>
          <cell r="HI40">
            <v>8.4999999999993747</v>
          </cell>
          <cell r="HJ40">
            <v>6.9999999999993179</v>
          </cell>
          <cell r="HK40">
            <v>6.0000000000002274</v>
          </cell>
          <cell r="HL40">
            <v>5.5000000000006821</v>
          </cell>
          <cell r="HM40">
            <v>4.5000000000001705</v>
          </cell>
          <cell r="HN40">
            <v>4.9999999999997158</v>
          </cell>
          <cell r="HO40">
            <v>6.4999999999983515</v>
          </cell>
          <cell r="HP40">
            <v>6.5000000000011937</v>
          </cell>
          <cell r="HQ40">
            <v>6.9999999999993179</v>
          </cell>
          <cell r="HR40">
            <v>7.5000000000002842</v>
          </cell>
          <cell r="HS40">
            <v>6.4999999999997726</v>
          </cell>
          <cell r="HT40">
            <v>8.4999999999993747</v>
          </cell>
          <cell r="HU40">
            <v>8.4999999999993747</v>
          </cell>
          <cell r="HV40">
            <v>9.0000000000003411</v>
          </cell>
          <cell r="HW40">
            <v>7.9999999999998295</v>
          </cell>
          <cell r="HX40">
            <v>7.9999999999984084</v>
          </cell>
          <cell r="HY40">
            <v>7.4999999999988631</v>
          </cell>
          <cell r="HZ40">
            <v>8.99999999999892</v>
          </cell>
          <cell r="IA40">
            <v>9.9999999999994316</v>
          </cell>
          <cell r="IB40">
            <v>9.4999999999998863</v>
          </cell>
          <cell r="IC40">
            <v>8.99999999999892</v>
          </cell>
          <cell r="ID40">
            <v>8.99999999999892</v>
          </cell>
          <cell r="IE40">
            <v>9.4999999999998863</v>
          </cell>
          <cell r="IF40">
            <v>9.9999999999994316</v>
          </cell>
          <cell r="IG40">
            <v>10.500000000000398</v>
          </cell>
          <cell r="IH40">
            <v>9.4999999999984652</v>
          </cell>
          <cell r="II40">
            <v>9.4999999999984652</v>
          </cell>
          <cell r="IJ40">
            <v>8.4999999999993747</v>
          </cell>
          <cell r="IK40">
            <v>6.9999999999993179</v>
          </cell>
          <cell r="IL40">
            <v>5.9999999999988063</v>
          </cell>
          <cell r="IM40">
            <v>5.9999999999988063</v>
          </cell>
          <cell r="IN40">
            <v>5.5000000000006821</v>
          </cell>
          <cell r="IO40">
            <v>6.4999999999983515</v>
          </cell>
          <cell r="IP40">
            <v>8.4999999999993747</v>
          </cell>
          <cell r="IQ40">
            <v>7.5000000000002842</v>
          </cell>
          <cell r="IR40">
            <v>6.4999999999997726</v>
          </cell>
          <cell r="IS40">
            <v>6.4999999999997726</v>
          </cell>
          <cell r="IT40">
            <v>8.5000000000007958</v>
          </cell>
          <cell r="IU40">
            <v>9.4999999999998863</v>
          </cell>
          <cell r="IV40">
            <v>8.5000000000007958</v>
          </cell>
          <cell r="IW40">
            <v>9.0000000000017621</v>
          </cell>
          <cell r="IX40">
            <v>10.000000000000853</v>
          </cell>
          <cell r="IY40">
            <v>9.9999999999994316</v>
          </cell>
          <cell r="IZ40">
            <v>8.99999999999892</v>
          </cell>
          <cell r="JA40">
            <v>6.0000000000002274</v>
          </cell>
          <cell r="JB40">
            <v>5.499999999999261</v>
          </cell>
          <cell r="JC40">
            <v>7.000000000000739</v>
          </cell>
          <cell r="JD40">
            <v>7.9999999999998295</v>
          </cell>
          <cell r="JE40">
            <v>8.5000000000007958</v>
          </cell>
          <cell r="JF40">
            <v>7.4999999999988631</v>
          </cell>
          <cell r="JG40">
            <v>5.5000000000006821</v>
          </cell>
          <cell r="JH40">
            <v>6.5000000000011937</v>
          </cell>
          <cell r="JI40">
            <v>8.4999999999993747</v>
          </cell>
          <cell r="JJ40">
            <v>10.000000000000853</v>
          </cell>
          <cell r="JK40">
            <v>8.0000000000012506</v>
          </cell>
          <cell r="JL40">
            <v>7.5000000000002842</v>
          </cell>
          <cell r="JM40">
            <v>4.5000000000001705</v>
          </cell>
          <cell r="JN40">
            <v>4.0000000000006253</v>
          </cell>
          <cell r="JO40">
            <v>0.50000000000096634</v>
          </cell>
          <cell r="JP40">
            <v>3.4999999999996589</v>
          </cell>
          <cell r="JQ40">
            <v>2.5000000000005684</v>
          </cell>
          <cell r="JR40">
            <v>3.4999999999996589</v>
          </cell>
          <cell r="JS40">
            <v>6.0000000000002274</v>
          </cell>
          <cell r="JT40">
            <v>6.4999999999983515</v>
          </cell>
          <cell r="JU40">
            <v>6.0000000000002274</v>
          </cell>
          <cell r="JV40">
            <v>6.9999999999993179</v>
          </cell>
          <cell r="JW40">
            <v>6.9999999999993179</v>
          </cell>
          <cell r="JX40">
            <v>6.9999999999993179</v>
          </cell>
          <cell r="JY40">
            <v>9.4999999999998863</v>
          </cell>
          <cell r="JZ40">
            <v>9.4999999999984652</v>
          </cell>
          <cell r="KA40">
            <v>8.5000000000007958</v>
          </cell>
          <cell r="KB40">
            <v>8.4999999999993747</v>
          </cell>
          <cell r="KC40">
            <v>8.5000000000007958</v>
          </cell>
          <cell r="KD40">
            <v>10.500000000000398</v>
          </cell>
          <cell r="KE40">
            <v>7.9999999999998295</v>
          </cell>
          <cell r="KF40">
            <v>7.9999999999998295</v>
          </cell>
          <cell r="KG40">
            <v>6.9999999999993179</v>
          </cell>
          <cell r="KH40">
            <v>10.000000000000853</v>
          </cell>
          <cell r="KI40">
            <v>9.0000000000003411</v>
          </cell>
          <cell r="KJ40">
            <v>10.500000000000398</v>
          </cell>
          <cell r="KK40">
            <v>11.000000000001364</v>
          </cell>
          <cell r="KL40">
            <v>12.999999999999545</v>
          </cell>
          <cell r="KM40">
            <v>13.500000000000512</v>
          </cell>
          <cell r="KN40">
            <v>11.499999999999488</v>
          </cell>
          <cell r="KO40">
            <v>12.5</v>
          </cell>
          <cell r="KP40">
            <v>12.5</v>
          </cell>
          <cell r="KQ40">
            <v>12.999999999998124</v>
          </cell>
          <cell r="KR40">
            <v>10.999999999999943</v>
          </cell>
          <cell r="KS40">
            <v>12.000000000001876</v>
          </cell>
          <cell r="KT40">
            <v>9.4999999999998863</v>
          </cell>
          <cell r="KU40">
            <v>9.0000000000003411</v>
          </cell>
          <cell r="KV40">
            <v>10.500000000000398</v>
          </cell>
          <cell r="KW40">
            <v>12.5</v>
          </cell>
          <cell r="KX40">
            <v>14.000000000000057</v>
          </cell>
          <cell r="KY40">
            <v>13.499999999999091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  <cell r="KS50">
            <v>0</v>
          </cell>
          <cell r="KT50">
            <v>0</v>
          </cell>
          <cell r="KU50">
            <v>0</v>
          </cell>
          <cell r="KV50">
            <v>0</v>
          </cell>
          <cell r="KW50">
            <v>0</v>
          </cell>
          <cell r="KX50">
            <v>0</v>
          </cell>
          <cell r="KY50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0</v>
          </cell>
          <cell r="KS60">
            <v>0</v>
          </cell>
          <cell r="KT60">
            <v>0</v>
          </cell>
          <cell r="KU60">
            <v>0</v>
          </cell>
          <cell r="KV60">
            <v>0</v>
          </cell>
          <cell r="KW60">
            <v>0</v>
          </cell>
          <cell r="KX60">
            <v>0</v>
          </cell>
          <cell r="KY60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  <cell r="IS70">
            <v>0</v>
          </cell>
          <cell r="IT70">
            <v>0</v>
          </cell>
          <cell r="IU70">
            <v>0</v>
          </cell>
          <cell r="IV70">
            <v>0</v>
          </cell>
          <cell r="IW70">
            <v>0</v>
          </cell>
          <cell r="IX70">
            <v>0</v>
          </cell>
          <cell r="IY70">
            <v>0</v>
          </cell>
          <cell r="IZ70">
            <v>0</v>
          </cell>
          <cell r="JA70">
            <v>0</v>
          </cell>
          <cell r="JB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I70">
            <v>0</v>
          </cell>
          <cell r="JJ70">
            <v>0</v>
          </cell>
          <cell r="JK70">
            <v>0</v>
          </cell>
          <cell r="JL70">
            <v>0</v>
          </cell>
          <cell r="JM70">
            <v>0</v>
          </cell>
          <cell r="JN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JU70">
            <v>0</v>
          </cell>
          <cell r="JV70">
            <v>0</v>
          </cell>
          <cell r="JW70">
            <v>0</v>
          </cell>
          <cell r="JX70">
            <v>0</v>
          </cell>
          <cell r="JY70">
            <v>0</v>
          </cell>
          <cell r="JZ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H70">
            <v>0</v>
          </cell>
          <cell r="KI70">
            <v>0</v>
          </cell>
          <cell r="KJ70">
            <v>0</v>
          </cell>
          <cell r="KK70">
            <v>0</v>
          </cell>
          <cell r="KL70">
            <v>0</v>
          </cell>
          <cell r="KM70">
            <v>0</v>
          </cell>
          <cell r="KN70">
            <v>0</v>
          </cell>
          <cell r="KO70">
            <v>0</v>
          </cell>
          <cell r="KP70">
            <v>0</v>
          </cell>
          <cell r="KQ70">
            <v>0</v>
          </cell>
          <cell r="KR70">
            <v>0</v>
          </cell>
          <cell r="KS70">
            <v>0</v>
          </cell>
          <cell r="KT70">
            <v>0</v>
          </cell>
          <cell r="KU70">
            <v>0</v>
          </cell>
          <cell r="KV70">
            <v>0</v>
          </cell>
          <cell r="KW70">
            <v>0</v>
          </cell>
          <cell r="KX70">
            <v>0</v>
          </cell>
          <cell r="KY70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  <cell r="IL80">
            <v>0</v>
          </cell>
          <cell r="IM80">
            <v>0</v>
          </cell>
          <cell r="IN80">
            <v>0</v>
          </cell>
          <cell r="IO80">
            <v>0</v>
          </cell>
          <cell r="IP80">
            <v>0</v>
          </cell>
          <cell r="IQ80">
            <v>0</v>
          </cell>
          <cell r="IR80">
            <v>0</v>
          </cell>
          <cell r="IS80">
            <v>0</v>
          </cell>
          <cell r="IT80">
            <v>0</v>
          </cell>
          <cell r="IU80">
            <v>0</v>
          </cell>
          <cell r="IV80">
            <v>0</v>
          </cell>
          <cell r="IW80">
            <v>0</v>
          </cell>
          <cell r="IX80">
            <v>0</v>
          </cell>
          <cell r="IY80">
            <v>0</v>
          </cell>
          <cell r="IZ80">
            <v>0</v>
          </cell>
          <cell r="JA80">
            <v>0</v>
          </cell>
          <cell r="JB80">
            <v>0</v>
          </cell>
          <cell r="JC80">
            <v>0</v>
          </cell>
          <cell r="JD80">
            <v>0</v>
          </cell>
          <cell r="JE80">
            <v>0</v>
          </cell>
          <cell r="JF80">
            <v>0</v>
          </cell>
          <cell r="JG80">
            <v>0</v>
          </cell>
          <cell r="JH80">
            <v>0</v>
          </cell>
          <cell r="JI80">
            <v>0</v>
          </cell>
          <cell r="JJ80">
            <v>0</v>
          </cell>
          <cell r="JK80">
            <v>0</v>
          </cell>
          <cell r="JL80">
            <v>0</v>
          </cell>
          <cell r="JM80">
            <v>0</v>
          </cell>
          <cell r="JN80">
            <v>0</v>
          </cell>
          <cell r="JO80">
            <v>0</v>
          </cell>
          <cell r="JP80">
            <v>0</v>
          </cell>
          <cell r="JQ80">
            <v>0</v>
          </cell>
          <cell r="JR80">
            <v>0</v>
          </cell>
          <cell r="JS80">
            <v>0</v>
          </cell>
          <cell r="JT80">
            <v>0</v>
          </cell>
          <cell r="JU80">
            <v>0</v>
          </cell>
          <cell r="JV80">
            <v>0</v>
          </cell>
          <cell r="JW80">
            <v>0</v>
          </cell>
          <cell r="JX80">
            <v>0</v>
          </cell>
          <cell r="JY80">
            <v>0</v>
          </cell>
          <cell r="JZ80">
            <v>0</v>
          </cell>
          <cell r="KA80">
            <v>0</v>
          </cell>
          <cell r="KB80">
            <v>0</v>
          </cell>
          <cell r="KC80">
            <v>0</v>
          </cell>
          <cell r="KD80">
            <v>0</v>
          </cell>
          <cell r="KE80">
            <v>0</v>
          </cell>
          <cell r="KF80">
            <v>0</v>
          </cell>
          <cell r="KG80">
            <v>0</v>
          </cell>
          <cell r="KH80">
            <v>0</v>
          </cell>
          <cell r="KI80">
            <v>0</v>
          </cell>
          <cell r="KJ80">
            <v>0</v>
          </cell>
          <cell r="KK80">
            <v>0</v>
          </cell>
          <cell r="KL80">
            <v>0</v>
          </cell>
          <cell r="KM80">
            <v>0</v>
          </cell>
          <cell r="KN80">
            <v>0</v>
          </cell>
          <cell r="KO80">
            <v>0</v>
          </cell>
          <cell r="KP80">
            <v>0</v>
          </cell>
          <cell r="KQ80">
            <v>0</v>
          </cell>
          <cell r="KR80">
            <v>0</v>
          </cell>
          <cell r="KS80">
            <v>0</v>
          </cell>
          <cell r="KT80">
            <v>0</v>
          </cell>
          <cell r="KU80">
            <v>0</v>
          </cell>
          <cell r="KV80">
            <v>0</v>
          </cell>
          <cell r="KW80">
            <v>0</v>
          </cell>
          <cell r="KX80">
            <v>0</v>
          </cell>
          <cell r="KY80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  <cell r="IL90">
            <v>0</v>
          </cell>
          <cell r="IM90">
            <v>0</v>
          </cell>
          <cell r="IN90">
            <v>0</v>
          </cell>
          <cell r="IO90">
            <v>0</v>
          </cell>
          <cell r="IP90">
            <v>0</v>
          </cell>
          <cell r="IQ90">
            <v>0</v>
          </cell>
          <cell r="IR90">
            <v>0</v>
          </cell>
          <cell r="IS90">
            <v>0</v>
          </cell>
          <cell r="IT90">
            <v>0</v>
          </cell>
          <cell r="IU90">
            <v>0</v>
          </cell>
          <cell r="IV90">
            <v>0</v>
          </cell>
          <cell r="IW90">
            <v>0</v>
          </cell>
          <cell r="IX90">
            <v>0</v>
          </cell>
          <cell r="IY90">
            <v>0</v>
          </cell>
          <cell r="IZ90">
            <v>0</v>
          </cell>
          <cell r="JA90">
            <v>0</v>
          </cell>
          <cell r="JB90">
            <v>0</v>
          </cell>
          <cell r="JC90">
            <v>0</v>
          </cell>
          <cell r="JD90">
            <v>0</v>
          </cell>
          <cell r="JE90">
            <v>0</v>
          </cell>
          <cell r="JF90">
            <v>0</v>
          </cell>
          <cell r="JG90">
            <v>0</v>
          </cell>
          <cell r="JH90">
            <v>0</v>
          </cell>
          <cell r="JI90">
            <v>0</v>
          </cell>
          <cell r="JJ90">
            <v>0</v>
          </cell>
          <cell r="JK90">
            <v>0</v>
          </cell>
          <cell r="JL90">
            <v>0</v>
          </cell>
          <cell r="JM90">
            <v>0</v>
          </cell>
          <cell r="JN90">
            <v>0</v>
          </cell>
          <cell r="JO90">
            <v>0</v>
          </cell>
          <cell r="JP90">
            <v>0</v>
          </cell>
          <cell r="JQ90">
            <v>0</v>
          </cell>
          <cell r="JR90">
            <v>0</v>
          </cell>
          <cell r="JS90">
            <v>0</v>
          </cell>
          <cell r="JT90">
            <v>0</v>
          </cell>
          <cell r="JU90">
            <v>0</v>
          </cell>
          <cell r="JV90">
            <v>0</v>
          </cell>
          <cell r="JW90">
            <v>0</v>
          </cell>
          <cell r="JX90">
            <v>0</v>
          </cell>
          <cell r="JY90">
            <v>0</v>
          </cell>
          <cell r="JZ90">
            <v>0</v>
          </cell>
          <cell r="KA90">
            <v>0</v>
          </cell>
          <cell r="KB90">
            <v>0</v>
          </cell>
          <cell r="KC90">
            <v>0</v>
          </cell>
          <cell r="KD90">
            <v>0</v>
          </cell>
          <cell r="KE90">
            <v>0</v>
          </cell>
          <cell r="KF90">
            <v>0</v>
          </cell>
          <cell r="KG90">
            <v>0</v>
          </cell>
          <cell r="KH90">
            <v>0</v>
          </cell>
          <cell r="KI90">
            <v>0</v>
          </cell>
          <cell r="KJ90">
            <v>0</v>
          </cell>
          <cell r="KK90">
            <v>0</v>
          </cell>
          <cell r="KL90">
            <v>0</v>
          </cell>
          <cell r="KM90">
            <v>0</v>
          </cell>
          <cell r="KN90">
            <v>0</v>
          </cell>
          <cell r="KO90">
            <v>0</v>
          </cell>
          <cell r="KP90">
            <v>0</v>
          </cell>
          <cell r="KQ90">
            <v>0</v>
          </cell>
          <cell r="KR90">
            <v>0</v>
          </cell>
          <cell r="KS90">
            <v>0</v>
          </cell>
          <cell r="KT90">
            <v>0</v>
          </cell>
          <cell r="KU90">
            <v>0</v>
          </cell>
          <cell r="KV90">
            <v>0</v>
          </cell>
          <cell r="KW90">
            <v>0</v>
          </cell>
          <cell r="KX90">
            <v>0</v>
          </cell>
          <cell r="KY90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  <cell r="IL100">
            <v>0</v>
          </cell>
          <cell r="IM100">
            <v>0</v>
          </cell>
          <cell r="IN100">
            <v>0</v>
          </cell>
          <cell r="IO100">
            <v>0</v>
          </cell>
          <cell r="IP100">
            <v>0</v>
          </cell>
          <cell r="IQ100">
            <v>0</v>
          </cell>
          <cell r="IR100">
            <v>0</v>
          </cell>
          <cell r="IS100">
            <v>0</v>
          </cell>
          <cell r="IT100">
            <v>0</v>
          </cell>
          <cell r="IU100">
            <v>0</v>
          </cell>
          <cell r="IV100">
            <v>0</v>
          </cell>
          <cell r="IW100">
            <v>0</v>
          </cell>
          <cell r="IX100">
            <v>0</v>
          </cell>
          <cell r="IY100">
            <v>0</v>
          </cell>
          <cell r="IZ100">
            <v>0</v>
          </cell>
          <cell r="JA100">
            <v>0</v>
          </cell>
          <cell r="JB100">
            <v>0</v>
          </cell>
          <cell r="JC100">
            <v>0</v>
          </cell>
          <cell r="JD100">
            <v>0</v>
          </cell>
          <cell r="JE100">
            <v>0</v>
          </cell>
          <cell r="JF100">
            <v>0</v>
          </cell>
          <cell r="JG100">
            <v>0</v>
          </cell>
          <cell r="JH100">
            <v>0</v>
          </cell>
          <cell r="JI100">
            <v>0</v>
          </cell>
          <cell r="JJ100">
            <v>0</v>
          </cell>
          <cell r="JK100">
            <v>0</v>
          </cell>
          <cell r="JL100">
            <v>0</v>
          </cell>
          <cell r="JM100">
            <v>0</v>
          </cell>
          <cell r="JN100">
            <v>0</v>
          </cell>
          <cell r="JO100">
            <v>0</v>
          </cell>
          <cell r="JP100">
            <v>0</v>
          </cell>
          <cell r="JQ100">
            <v>0</v>
          </cell>
          <cell r="JR100">
            <v>0</v>
          </cell>
          <cell r="JS100">
            <v>0</v>
          </cell>
          <cell r="JT100">
            <v>0</v>
          </cell>
          <cell r="JU100">
            <v>0</v>
          </cell>
          <cell r="JV100">
            <v>0</v>
          </cell>
          <cell r="JW100">
            <v>0</v>
          </cell>
          <cell r="JX100">
            <v>0</v>
          </cell>
          <cell r="JY100">
            <v>0</v>
          </cell>
          <cell r="JZ100">
            <v>0</v>
          </cell>
          <cell r="KA100">
            <v>0</v>
          </cell>
          <cell r="KB100">
            <v>0</v>
          </cell>
          <cell r="KC100">
            <v>0</v>
          </cell>
          <cell r="KD100">
            <v>0</v>
          </cell>
          <cell r="KE100">
            <v>0</v>
          </cell>
          <cell r="KF100">
            <v>0</v>
          </cell>
          <cell r="KG100">
            <v>0</v>
          </cell>
          <cell r="KH100">
            <v>0</v>
          </cell>
          <cell r="KI100">
            <v>0</v>
          </cell>
          <cell r="KJ100">
            <v>0</v>
          </cell>
          <cell r="KK100">
            <v>0</v>
          </cell>
          <cell r="KL100">
            <v>0</v>
          </cell>
          <cell r="KM100">
            <v>0</v>
          </cell>
          <cell r="KN100">
            <v>0</v>
          </cell>
          <cell r="KO100">
            <v>0</v>
          </cell>
          <cell r="KP100">
            <v>0</v>
          </cell>
          <cell r="KQ100">
            <v>0</v>
          </cell>
          <cell r="KR100">
            <v>0</v>
          </cell>
          <cell r="KS100">
            <v>0</v>
          </cell>
          <cell r="KT100">
            <v>0</v>
          </cell>
          <cell r="KU100">
            <v>0</v>
          </cell>
          <cell r="KV100">
            <v>0</v>
          </cell>
          <cell r="KW100">
            <v>0</v>
          </cell>
          <cell r="KX100">
            <v>0</v>
          </cell>
          <cell r="KY100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  <cell r="IL110">
            <v>0</v>
          </cell>
          <cell r="IM110">
            <v>0</v>
          </cell>
          <cell r="IN110">
            <v>0</v>
          </cell>
          <cell r="IO110">
            <v>0</v>
          </cell>
          <cell r="IP110">
            <v>0</v>
          </cell>
          <cell r="IQ110">
            <v>0</v>
          </cell>
          <cell r="IR110">
            <v>0</v>
          </cell>
          <cell r="IS110">
            <v>0</v>
          </cell>
          <cell r="IT110">
            <v>0</v>
          </cell>
          <cell r="IU110">
            <v>0</v>
          </cell>
          <cell r="IV110">
            <v>0</v>
          </cell>
          <cell r="IW110">
            <v>0</v>
          </cell>
          <cell r="IX110">
            <v>0</v>
          </cell>
          <cell r="IY110">
            <v>0</v>
          </cell>
          <cell r="IZ110">
            <v>0</v>
          </cell>
          <cell r="JA110">
            <v>0</v>
          </cell>
          <cell r="JB110">
            <v>0</v>
          </cell>
          <cell r="JC110">
            <v>0</v>
          </cell>
          <cell r="JD110">
            <v>0</v>
          </cell>
          <cell r="JE110">
            <v>0</v>
          </cell>
          <cell r="JF110">
            <v>0</v>
          </cell>
          <cell r="JG110">
            <v>0</v>
          </cell>
          <cell r="JH110">
            <v>0</v>
          </cell>
          <cell r="JI110">
            <v>0</v>
          </cell>
          <cell r="JJ110">
            <v>0</v>
          </cell>
          <cell r="JK110">
            <v>0</v>
          </cell>
          <cell r="JL110">
            <v>0</v>
          </cell>
          <cell r="JM110">
            <v>0</v>
          </cell>
          <cell r="JN110">
            <v>0</v>
          </cell>
          <cell r="JO110">
            <v>0</v>
          </cell>
          <cell r="JP110">
            <v>0</v>
          </cell>
          <cell r="JQ110">
            <v>0</v>
          </cell>
          <cell r="JR110">
            <v>0</v>
          </cell>
          <cell r="JS110">
            <v>0</v>
          </cell>
          <cell r="JT110">
            <v>0</v>
          </cell>
          <cell r="JU110">
            <v>0</v>
          </cell>
          <cell r="JV110">
            <v>0</v>
          </cell>
          <cell r="JW110">
            <v>0</v>
          </cell>
          <cell r="JX110">
            <v>0</v>
          </cell>
          <cell r="JY110">
            <v>0</v>
          </cell>
          <cell r="JZ110">
            <v>0</v>
          </cell>
          <cell r="KA110">
            <v>0</v>
          </cell>
          <cell r="KB110">
            <v>0</v>
          </cell>
          <cell r="KC110">
            <v>0</v>
          </cell>
          <cell r="KD110">
            <v>0</v>
          </cell>
          <cell r="KE110">
            <v>0</v>
          </cell>
          <cell r="KF110">
            <v>0</v>
          </cell>
          <cell r="KG110">
            <v>0</v>
          </cell>
          <cell r="KH110">
            <v>0</v>
          </cell>
          <cell r="KI110">
            <v>0</v>
          </cell>
          <cell r="KJ110">
            <v>0</v>
          </cell>
          <cell r="KK110">
            <v>0</v>
          </cell>
          <cell r="KL110">
            <v>0</v>
          </cell>
          <cell r="KM110">
            <v>0</v>
          </cell>
          <cell r="KN110">
            <v>0</v>
          </cell>
          <cell r="KO110">
            <v>0</v>
          </cell>
          <cell r="KP110">
            <v>0</v>
          </cell>
          <cell r="KQ110">
            <v>0</v>
          </cell>
          <cell r="KR110">
            <v>0</v>
          </cell>
          <cell r="KS110">
            <v>0</v>
          </cell>
          <cell r="KT110">
            <v>0</v>
          </cell>
          <cell r="KU110">
            <v>0</v>
          </cell>
          <cell r="KV110">
            <v>0</v>
          </cell>
          <cell r="KW110">
            <v>0</v>
          </cell>
          <cell r="KX110">
            <v>0</v>
          </cell>
          <cell r="KY110">
            <v>0</v>
          </cell>
        </row>
        <row r="120">
          <cell r="D120">
            <v>-16.499999999999204</v>
          </cell>
          <cell r="E120">
            <v>-14.000000000000057</v>
          </cell>
          <cell r="F120">
            <v>-12.5</v>
          </cell>
          <cell r="G120">
            <v>-19.499999999999318</v>
          </cell>
          <cell r="H120">
            <v>-19.999999999998863</v>
          </cell>
          <cell r="I120">
            <v>-19.999999999998863</v>
          </cell>
          <cell r="J120">
            <v>-27.999999999998693</v>
          </cell>
          <cell r="K120">
            <v>-19.500000000000739</v>
          </cell>
          <cell r="L120">
            <v>-22.500000000000853</v>
          </cell>
          <cell r="M120">
            <v>-8.4999999999993747</v>
          </cell>
          <cell r="N120">
            <v>-11.499999999999488</v>
          </cell>
          <cell r="O120">
            <v>-13.000000000000966</v>
          </cell>
          <cell r="P120">
            <v>-31.999999999999318</v>
          </cell>
          <cell r="Q120">
            <v>-35.999999999999943</v>
          </cell>
          <cell r="R120">
            <v>-37.000000000000455</v>
          </cell>
          <cell r="S120">
            <v>-37.999999999999545</v>
          </cell>
          <cell r="T120">
            <v>-34.999999999999432</v>
          </cell>
          <cell r="U120">
            <v>-40.999999999999659</v>
          </cell>
          <cell r="V120">
            <v>-35.500000000000398</v>
          </cell>
          <cell r="W120">
            <v>-39.000000000000057</v>
          </cell>
          <cell r="X120">
            <v>-35.999999999999943</v>
          </cell>
          <cell r="Y120">
            <v>-33.99999999999892</v>
          </cell>
          <cell r="Z120">
            <v>-39.499999999999602</v>
          </cell>
          <cell r="AA120">
            <v>-29.999999999999716</v>
          </cell>
          <cell r="AB120">
            <v>-35.000000000000853</v>
          </cell>
          <cell r="AC120">
            <v>-34.999999999999432</v>
          </cell>
          <cell r="AD120">
            <v>-28.499999999999659</v>
          </cell>
          <cell r="AE120">
            <v>-25.500000000000966</v>
          </cell>
          <cell r="AF120">
            <v>-18.500000000000227</v>
          </cell>
          <cell r="AG120">
            <v>-21.500000000000341</v>
          </cell>
          <cell r="AH120">
            <v>-31.499999999999773</v>
          </cell>
          <cell r="AI120">
            <v>-28.499999999999659</v>
          </cell>
          <cell r="AJ120">
            <v>-24.500000000000455</v>
          </cell>
          <cell r="AK120">
            <v>-29.500000000000171</v>
          </cell>
          <cell r="AL120">
            <v>-18.500000000000227</v>
          </cell>
          <cell r="AM120">
            <v>-28.50000000000108</v>
          </cell>
          <cell r="AN120">
            <v>-29.500000000000171</v>
          </cell>
          <cell r="AO120">
            <v>-15.999999999999659</v>
          </cell>
          <cell r="AP120">
            <v>-27.000000000001023</v>
          </cell>
          <cell r="AQ120">
            <v>-16.499999999999204</v>
          </cell>
          <cell r="AR120">
            <v>-15.500000000000114</v>
          </cell>
          <cell r="AS120">
            <v>-16.500000000000625</v>
          </cell>
          <cell r="AT120">
            <v>-9.4999999999998863</v>
          </cell>
          <cell r="AU120">
            <v>-2.5000000000005684</v>
          </cell>
          <cell r="AV120">
            <v>-1.5000000000000568</v>
          </cell>
          <cell r="AW120">
            <v>2.5000000000005684</v>
          </cell>
          <cell r="AX120">
            <v>7.9999999999998295</v>
          </cell>
          <cell r="AY120">
            <v>14.500000000001023</v>
          </cell>
          <cell r="AZ120">
            <v>10.500000000000398</v>
          </cell>
          <cell r="BA120">
            <v>10.999999999999943</v>
          </cell>
          <cell r="BB120">
            <v>21.999999999999886</v>
          </cell>
          <cell r="BC120">
            <v>29.500000000000171</v>
          </cell>
          <cell r="BD120">
            <v>20.000000000000284</v>
          </cell>
          <cell r="BE120">
            <v>22.499999999999432</v>
          </cell>
          <cell r="BF120">
            <v>18.999999999999773</v>
          </cell>
          <cell r="BG120">
            <v>15.999999999999659</v>
          </cell>
          <cell r="BH120">
            <v>17.000000000000171</v>
          </cell>
          <cell r="BI120">
            <v>17.499999999999716</v>
          </cell>
          <cell r="BJ120">
            <v>26.999999999999602</v>
          </cell>
          <cell r="BK120">
            <v>23.000000000000398</v>
          </cell>
          <cell r="BL120">
            <v>10.999999999999943</v>
          </cell>
          <cell r="BM120">
            <v>10.999999999999943</v>
          </cell>
          <cell r="BN120">
            <v>9.4999999999998863</v>
          </cell>
          <cell r="BO120">
            <v>10.500000000000398</v>
          </cell>
          <cell r="BP120">
            <v>14.500000000001023</v>
          </cell>
          <cell r="BQ120">
            <v>15.500000000000114</v>
          </cell>
          <cell r="BR120">
            <v>15.500000000000114</v>
          </cell>
          <cell r="BS120">
            <v>14.000000000000057</v>
          </cell>
          <cell r="BT120">
            <v>9.9999999999994316</v>
          </cell>
          <cell r="BU120">
            <v>12.5</v>
          </cell>
          <cell r="BV120">
            <v>7.9999999999998295</v>
          </cell>
          <cell r="BW120">
            <v>6.9999999999993179</v>
          </cell>
          <cell r="BX120">
            <v>9.4999999999998863</v>
          </cell>
          <cell r="BY120">
            <v>12.000000000000455</v>
          </cell>
          <cell r="BZ120">
            <v>14.000000000000057</v>
          </cell>
          <cell r="CA120">
            <v>4.0000000000006253</v>
          </cell>
          <cell r="CB120">
            <v>5.5000000000006821</v>
          </cell>
          <cell r="CC120">
            <v>14.999999999999147</v>
          </cell>
          <cell r="CD120">
            <v>14.499999999999602</v>
          </cell>
          <cell r="CE120">
            <v>11.499999999999488</v>
          </cell>
          <cell r="CF120">
            <v>11.499999999999488</v>
          </cell>
          <cell r="CG120">
            <v>15.500000000000114</v>
          </cell>
          <cell r="CH120">
            <v>15.500000000000114</v>
          </cell>
          <cell r="CI120">
            <v>7.9999999999998295</v>
          </cell>
          <cell r="CJ120">
            <v>14.999999999999147</v>
          </cell>
          <cell r="CK120">
            <v>11.499999999999488</v>
          </cell>
          <cell r="CL120">
            <v>12.999999999999545</v>
          </cell>
          <cell r="CM120">
            <v>12.999999999999545</v>
          </cell>
          <cell r="CN120">
            <v>20.999999999999375</v>
          </cell>
          <cell r="CO120">
            <v>17.499999999999716</v>
          </cell>
          <cell r="CP120">
            <v>12.5</v>
          </cell>
          <cell r="CQ120">
            <v>4.0000000000006253</v>
          </cell>
          <cell r="CR120">
            <v>-5.0000000000011369</v>
          </cell>
          <cell r="CS120">
            <v>5.499999999999261</v>
          </cell>
          <cell r="CT120">
            <v>8.99999999999892</v>
          </cell>
          <cell r="CU120">
            <v>9.4999999999998863</v>
          </cell>
          <cell r="CV120">
            <v>7.5000000000002842</v>
          </cell>
          <cell r="CW120">
            <v>-2.5000000000005684</v>
          </cell>
          <cell r="CX120">
            <v>0.99999999999909051</v>
          </cell>
          <cell r="CY120">
            <v>-7.5000000000002842</v>
          </cell>
          <cell r="CZ120">
            <v>-4.9999999999997158</v>
          </cell>
          <cell r="DA120">
            <v>-2.5000000000005684</v>
          </cell>
          <cell r="DB120">
            <v>1.5000000000000568</v>
          </cell>
          <cell r="DC120">
            <v>-1.5000000000000568</v>
          </cell>
          <cell r="DD120">
            <v>-3.4999999999996589</v>
          </cell>
          <cell r="DE120">
            <v>-4.0000000000006253</v>
          </cell>
          <cell r="DF120">
            <v>-9.0000000000003411</v>
          </cell>
          <cell r="DG120">
            <v>-3.4999999999996589</v>
          </cell>
          <cell r="DH120">
            <v>-5.499999999999261</v>
          </cell>
          <cell r="DI120">
            <v>2.5000000000005684</v>
          </cell>
          <cell r="DJ120">
            <v>0.50000000000096634</v>
          </cell>
          <cell r="DK120">
            <v>-6.0000000000002274</v>
          </cell>
          <cell r="DL120">
            <v>-7.5000000000002842</v>
          </cell>
          <cell r="DM120">
            <v>-7.000000000000739</v>
          </cell>
          <cell r="DN120">
            <v>-6.4999999999997726</v>
          </cell>
          <cell r="DO120">
            <v>-10.000000000000853</v>
          </cell>
          <cell r="DP120">
            <v>-14.000000000000057</v>
          </cell>
          <cell r="DQ120">
            <v>-10.500000000000398</v>
          </cell>
          <cell r="DR120">
            <v>-6.4999999999997726</v>
          </cell>
          <cell r="DS120">
            <v>-13.500000000000512</v>
          </cell>
          <cell r="DT120">
            <v>-16.500000000000625</v>
          </cell>
          <cell r="DU120">
            <v>-19.500000000000739</v>
          </cell>
          <cell r="DV120">
            <v>-29.999999999999716</v>
          </cell>
          <cell r="DW120">
            <v>-18.500000000000227</v>
          </cell>
          <cell r="DX120">
            <v>-15.999999999999659</v>
          </cell>
          <cell r="DY120">
            <v>-23.000000000000398</v>
          </cell>
          <cell r="DZ120">
            <v>-15.499999999998693</v>
          </cell>
          <cell r="EA120">
            <v>-16.500000000000625</v>
          </cell>
          <cell r="EB120">
            <v>-10.999999999999943</v>
          </cell>
          <cell r="EC120">
            <v>-11.499999999999488</v>
          </cell>
          <cell r="ED120">
            <v>-10.500000000000398</v>
          </cell>
          <cell r="EE120">
            <v>-6.0000000000002274</v>
          </cell>
          <cell r="EF120">
            <v>-4.5000000000001705</v>
          </cell>
          <cell r="EG120">
            <v>-3.0000000000001137</v>
          </cell>
          <cell r="EH120">
            <v>-9.4999999999998863</v>
          </cell>
          <cell r="EI120">
            <v>-13.000000000000966</v>
          </cell>
          <cell r="EJ120">
            <v>-15.999999999999659</v>
          </cell>
          <cell r="EK120">
            <v>-25</v>
          </cell>
          <cell r="EL120">
            <v>-23.999999999999488</v>
          </cell>
          <cell r="EM120">
            <v>-26.000000000000512</v>
          </cell>
          <cell r="EN120">
            <v>-25</v>
          </cell>
          <cell r="EO120">
            <v>-23.000000000000398</v>
          </cell>
          <cell r="EP120">
            <v>-28.000000000000114</v>
          </cell>
          <cell r="EQ120">
            <v>-31.000000000000227</v>
          </cell>
          <cell r="ER120">
            <v>-26.999999999999602</v>
          </cell>
          <cell r="ES120">
            <v>-25.500000000000966</v>
          </cell>
          <cell r="ET120">
            <v>-35.999999999999943</v>
          </cell>
          <cell r="EU120">
            <v>-29.500000000000171</v>
          </cell>
          <cell r="EV120">
            <v>-28.499999999999659</v>
          </cell>
          <cell r="EW120">
            <v>-32.000000000000739</v>
          </cell>
          <cell r="EX120">
            <v>-29.999999999999716</v>
          </cell>
          <cell r="EY120">
            <v>-29.999999999999716</v>
          </cell>
          <cell r="EZ120">
            <v>-29.500000000000171</v>
          </cell>
          <cell r="FA120">
            <v>-26.500000000000057</v>
          </cell>
          <cell r="FB120">
            <v>-27.499999999999147</v>
          </cell>
          <cell r="FC120">
            <v>-24.500000000000455</v>
          </cell>
          <cell r="FD120">
            <v>-25</v>
          </cell>
          <cell r="FE120">
            <v>-23.000000000000398</v>
          </cell>
          <cell r="FF120">
            <v>-23.000000000000398</v>
          </cell>
          <cell r="FG120">
            <v>-23.499999999999943</v>
          </cell>
          <cell r="FH120">
            <v>-22.999999999998977</v>
          </cell>
          <cell r="FI120">
            <v>-24.000000000000909</v>
          </cell>
          <cell r="FJ120">
            <v>-34.000000000000341</v>
          </cell>
          <cell r="FK120">
            <v>-32.000000000000739</v>
          </cell>
          <cell r="FL120">
            <v>-34.000000000000341</v>
          </cell>
          <cell r="FM120">
            <v>-34.999999999999432</v>
          </cell>
          <cell r="FN120">
            <v>-33.500000000000796</v>
          </cell>
          <cell r="FO120">
            <v>-31.499999999999773</v>
          </cell>
          <cell r="FP120">
            <v>-30.500000000000682</v>
          </cell>
          <cell r="FQ120">
            <v>-27.500000000000568</v>
          </cell>
          <cell r="FR120">
            <v>-35.500000000000398</v>
          </cell>
          <cell r="FS120">
            <v>-36.499999999999488</v>
          </cell>
          <cell r="FT120">
            <v>-37.5</v>
          </cell>
          <cell r="FU120">
            <v>-31.000000000000227</v>
          </cell>
          <cell r="FV120">
            <v>-31.000000000000227</v>
          </cell>
          <cell r="FW120">
            <v>-27.000000000001023</v>
          </cell>
          <cell r="FX120">
            <v>-29.000000000000625</v>
          </cell>
          <cell r="FY120">
            <v>-26.000000000000512</v>
          </cell>
          <cell r="FZ120">
            <v>-21.999999999999886</v>
          </cell>
          <cell r="GA120">
            <v>-17.000000000000171</v>
          </cell>
          <cell r="GB120">
            <v>-14.000000000000057</v>
          </cell>
          <cell r="GC120">
            <v>-14.499999999999602</v>
          </cell>
          <cell r="GD120">
            <v>-16.999999999998749</v>
          </cell>
          <cell r="GE120">
            <v>-17.499999999999716</v>
          </cell>
          <cell r="GF120">
            <v>-11.499999999999488</v>
          </cell>
          <cell r="GG120">
            <v>-9.0000000000003411</v>
          </cell>
          <cell r="GH120">
            <v>-11.499999999999488</v>
          </cell>
          <cell r="GI120">
            <v>-14.000000000000057</v>
          </cell>
          <cell r="GJ120">
            <v>-15.500000000000114</v>
          </cell>
          <cell r="GK120">
            <v>-17.500000000001137</v>
          </cell>
          <cell r="GL120">
            <v>-3.4999999999996589</v>
          </cell>
          <cell r="GM120">
            <v>-2.5000000000005684</v>
          </cell>
          <cell r="GN120">
            <v>-6.0000000000002274</v>
          </cell>
          <cell r="GO120">
            <v>-1.9999999999996021</v>
          </cell>
          <cell r="GP120">
            <v>-3.4999999999996589</v>
          </cell>
          <cell r="GQ120">
            <v>-1.5000000000000568</v>
          </cell>
          <cell r="GR120">
            <v>-1.0000000000005116</v>
          </cell>
          <cell r="GS120">
            <v>-4.4999999999987494</v>
          </cell>
          <cell r="GT120">
            <v>-0.49999999999954525</v>
          </cell>
          <cell r="GU120">
            <v>0</v>
          </cell>
          <cell r="GV120">
            <v>1.5000000000000568</v>
          </cell>
          <cell r="GW120">
            <v>-7.9999999999998295</v>
          </cell>
          <cell r="GX120">
            <v>-2.4999999999991473</v>
          </cell>
          <cell r="GY120">
            <v>0.49999999999954525</v>
          </cell>
          <cell r="GZ120">
            <v>-4.5000000000001705</v>
          </cell>
          <cell r="HA120">
            <v>-1.5000000000000568</v>
          </cell>
          <cell r="HB120">
            <v>2.5000000000005684</v>
          </cell>
          <cell r="HC120">
            <v>1.5000000000000568</v>
          </cell>
          <cell r="HD120">
            <v>3.4999999999996589</v>
          </cell>
          <cell r="HE120">
            <v>1.9999999999996021</v>
          </cell>
          <cell r="HF120">
            <v>3.0000000000001137</v>
          </cell>
          <cell r="HG120">
            <v>7.000000000000739</v>
          </cell>
          <cell r="HH120">
            <v>11.500000000000909</v>
          </cell>
          <cell r="HI120">
            <v>14.499999999999602</v>
          </cell>
          <cell r="HJ120">
            <v>6.5000000000011937</v>
          </cell>
          <cell r="HK120">
            <v>4.5000000000001705</v>
          </cell>
          <cell r="HL120">
            <v>7.9999999999998295</v>
          </cell>
          <cell r="HM120">
            <v>6.4999999999997726</v>
          </cell>
          <cell r="HN120">
            <v>6.4999999999997726</v>
          </cell>
          <cell r="HO120">
            <v>10.500000000000398</v>
          </cell>
          <cell r="HP120">
            <v>12.5</v>
          </cell>
          <cell r="HQ120">
            <v>6.9999999999993179</v>
          </cell>
          <cell r="HR120">
            <v>7.5000000000002842</v>
          </cell>
          <cell r="HS120">
            <v>8.5000000000007958</v>
          </cell>
          <cell r="HT120">
            <v>6.0000000000002274</v>
          </cell>
          <cell r="HU120">
            <v>-1.9999999999996021</v>
          </cell>
          <cell r="HV120">
            <v>5.0000000000011369</v>
          </cell>
          <cell r="HW120">
            <v>3.0000000000001137</v>
          </cell>
          <cell r="HX120">
            <v>4.9999999999997158</v>
          </cell>
          <cell r="HY120">
            <v>7.9999999999998295</v>
          </cell>
          <cell r="HZ120">
            <v>1.9999999999996021</v>
          </cell>
          <cell r="IA120">
            <v>1.5000000000000568</v>
          </cell>
          <cell r="IB120">
            <v>4.9999999999997158</v>
          </cell>
          <cell r="IC120">
            <v>8.5000000000007958</v>
          </cell>
          <cell r="ID120">
            <v>13.499999999999091</v>
          </cell>
          <cell r="IE120">
            <v>12.999999999999545</v>
          </cell>
          <cell r="IF120">
            <v>19.499999999999318</v>
          </cell>
          <cell r="IG120">
            <v>23.500000000001364</v>
          </cell>
          <cell r="IH120">
            <v>18.000000000000682</v>
          </cell>
          <cell r="II120">
            <v>18.000000000000682</v>
          </cell>
          <cell r="IJ120">
            <v>17.000000000000171</v>
          </cell>
          <cell r="IK120">
            <v>14.499999999999602</v>
          </cell>
          <cell r="IL120">
            <v>20.000000000000284</v>
          </cell>
          <cell r="IM120">
            <v>19.500000000000739</v>
          </cell>
          <cell r="IN120">
            <v>23.499999999999943</v>
          </cell>
          <cell r="IO120">
            <v>25.499999999999545</v>
          </cell>
          <cell r="IP120">
            <v>23.000000000000398</v>
          </cell>
          <cell r="IQ120">
            <v>23.000000000000398</v>
          </cell>
          <cell r="IR120">
            <v>27.000000000001023</v>
          </cell>
          <cell r="IS120">
            <v>32.000000000000739</v>
          </cell>
          <cell r="IT120">
            <v>28.499999999999659</v>
          </cell>
          <cell r="IU120">
            <v>30.500000000000682</v>
          </cell>
          <cell r="IV120">
            <v>25.500000000000966</v>
          </cell>
          <cell r="IW120">
            <v>17.500000000001137</v>
          </cell>
          <cell r="IX120">
            <v>19.000000000001194</v>
          </cell>
          <cell r="IY120">
            <v>20.499999999999829</v>
          </cell>
          <cell r="IZ120">
            <v>14.000000000000057</v>
          </cell>
          <cell r="JA120">
            <v>23.999999999999488</v>
          </cell>
          <cell r="JB120">
            <v>24.499999999999034</v>
          </cell>
          <cell r="JC120">
            <v>28.000000000000114</v>
          </cell>
          <cell r="JD120">
            <v>28.999999999999204</v>
          </cell>
          <cell r="JE120">
            <v>26.500000000000057</v>
          </cell>
          <cell r="JF120">
            <v>28.000000000000114</v>
          </cell>
          <cell r="JG120">
            <v>34.500000000001307</v>
          </cell>
          <cell r="JH120">
            <v>29.500000000000171</v>
          </cell>
          <cell r="JI120">
            <v>30.999999999998806</v>
          </cell>
          <cell r="JJ120">
            <v>22.999999999998977</v>
          </cell>
          <cell r="JK120">
            <v>28.999999999999204</v>
          </cell>
          <cell r="JL120">
            <v>31.500000000001194</v>
          </cell>
          <cell r="JM120">
            <v>28.000000000000114</v>
          </cell>
          <cell r="JN120">
            <v>28.499999999999659</v>
          </cell>
          <cell r="JO120">
            <v>35.500000000000398</v>
          </cell>
          <cell r="JP120">
            <v>28.000000000000114</v>
          </cell>
          <cell r="JQ120">
            <v>26.000000000000512</v>
          </cell>
          <cell r="JR120">
            <v>23.000000000000398</v>
          </cell>
          <cell r="JS120">
            <v>23.000000000000398</v>
          </cell>
          <cell r="JT120">
            <v>21.999999999999886</v>
          </cell>
          <cell r="JU120">
            <v>23.499999999999943</v>
          </cell>
          <cell r="JV120">
            <v>34.999999999999432</v>
          </cell>
          <cell r="JW120">
            <v>19.499999999999318</v>
          </cell>
          <cell r="JX120">
            <v>19.499999999999318</v>
          </cell>
          <cell r="JY120">
            <v>18.999999999999773</v>
          </cell>
          <cell r="JZ120">
            <v>19.500000000000739</v>
          </cell>
          <cell r="KA120">
            <v>20.000000000000284</v>
          </cell>
          <cell r="KB120">
            <v>21.999999999999886</v>
          </cell>
          <cell r="KC120">
            <v>22.499999999999432</v>
          </cell>
          <cell r="KD120">
            <v>17.000000000000171</v>
          </cell>
          <cell r="KE120">
            <v>14.499999999999602</v>
          </cell>
          <cell r="KF120">
            <v>15.999999999999659</v>
          </cell>
          <cell r="KG120">
            <v>12.5</v>
          </cell>
          <cell r="KH120">
            <v>13.499999999999091</v>
          </cell>
          <cell r="KI120">
            <v>7.5000000000002842</v>
          </cell>
          <cell r="KJ120">
            <v>12.5</v>
          </cell>
          <cell r="KK120">
            <v>4.9999999999997158</v>
          </cell>
          <cell r="KL120">
            <v>0.49999999999954525</v>
          </cell>
          <cell r="KM120">
            <v>-1.9999999999996021</v>
          </cell>
          <cell r="KN120">
            <v>0.50000000000096634</v>
          </cell>
          <cell r="KO120">
            <v>1.0000000000005116</v>
          </cell>
          <cell r="KP120">
            <v>-2.0000000000010232</v>
          </cell>
          <cell r="KQ120">
            <v>-0.50000000000096634</v>
          </cell>
          <cell r="KR120">
            <v>4.0000000000006253</v>
          </cell>
          <cell r="KS120">
            <v>-1.9999999999996021</v>
          </cell>
          <cell r="KT120">
            <v>0.99999999999909051</v>
          </cell>
          <cell r="KU120">
            <v>3.4999999999996589</v>
          </cell>
          <cell r="KV120">
            <v>6.0000000000002274</v>
          </cell>
          <cell r="KW120">
            <v>11.499999999999488</v>
          </cell>
          <cell r="KX120">
            <v>12.5</v>
          </cell>
          <cell r="KY120">
            <v>15.500000000000114</v>
          </cell>
        </row>
        <row r="130">
          <cell r="D130">
            <v>-14478</v>
          </cell>
          <cell r="E130">
            <v>-14469.75</v>
          </cell>
          <cell r="F130">
            <v>-14481</v>
          </cell>
          <cell r="G130">
            <v>-14493</v>
          </cell>
          <cell r="H130">
            <v>-14480.25</v>
          </cell>
          <cell r="I130">
            <v>-14480.25</v>
          </cell>
          <cell r="J130">
            <v>-14483.250000000002</v>
          </cell>
          <cell r="K130">
            <v>-14477.25</v>
          </cell>
          <cell r="L130">
            <v>-14478</v>
          </cell>
          <cell r="M130">
            <v>-14463</v>
          </cell>
          <cell r="N130">
            <v>-14477.25</v>
          </cell>
          <cell r="O130">
            <v>-14457</v>
          </cell>
          <cell r="P130">
            <v>-14499.75</v>
          </cell>
          <cell r="Q130">
            <v>-14493.75</v>
          </cell>
          <cell r="R130">
            <v>-14498.250000000002</v>
          </cell>
          <cell r="S130">
            <v>-14484.75</v>
          </cell>
          <cell r="T130">
            <v>-14456.25</v>
          </cell>
          <cell r="U130">
            <v>-14464.500000000002</v>
          </cell>
          <cell r="V130">
            <v>-14456.25</v>
          </cell>
          <cell r="W130">
            <v>-14456.25</v>
          </cell>
          <cell r="X130">
            <v>-14439.75</v>
          </cell>
          <cell r="Y130">
            <v>-14439.000000000002</v>
          </cell>
          <cell r="Z130">
            <v>-14442.000000000002</v>
          </cell>
          <cell r="AA130">
            <v>-14438.25</v>
          </cell>
          <cell r="AB130">
            <v>-14452.499999999998</v>
          </cell>
          <cell r="AC130">
            <v>-14448.750000000002</v>
          </cell>
          <cell r="AD130">
            <v>-14444.25</v>
          </cell>
          <cell r="AE130">
            <v>-14434.5</v>
          </cell>
          <cell r="AF130">
            <v>-14435.25</v>
          </cell>
          <cell r="AG130">
            <v>-14442.000000000002</v>
          </cell>
          <cell r="AH130">
            <v>-14454</v>
          </cell>
          <cell r="AI130">
            <v>-14447.999999999998</v>
          </cell>
          <cell r="AJ130">
            <v>-14458.5</v>
          </cell>
          <cell r="AK130">
            <v>-14467.500000000002</v>
          </cell>
          <cell r="AL130">
            <v>-14448.750000000002</v>
          </cell>
          <cell r="AM130">
            <v>-14455.5</v>
          </cell>
          <cell r="AN130">
            <v>-14450.25</v>
          </cell>
          <cell r="AO130">
            <v>-14453.25</v>
          </cell>
          <cell r="AP130">
            <v>-14448.750000000002</v>
          </cell>
          <cell r="AQ130">
            <v>-14447.25</v>
          </cell>
          <cell r="AR130">
            <v>-14431.5</v>
          </cell>
          <cell r="AS130">
            <v>-14433.749999999998</v>
          </cell>
          <cell r="AT130">
            <v>-14430.75</v>
          </cell>
          <cell r="AU130">
            <v>-14419.5</v>
          </cell>
          <cell r="AV130">
            <v>-14414.999999999998</v>
          </cell>
          <cell r="AW130">
            <v>-14400</v>
          </cell>
          <cell r="AX130">
            <v>-14398.499999999998</v>
          </cell>
          <cell r="AY130">
            <v>-14395.499999999998</v>
          </cell>
          <cell r="AZ130">
            <v>-14403</v>
          </cell>
          <cell r="BA130">
            <v>-14403</v>
          </cell>
          <cell r="BB130">
            <v>-14391.749999999998</v>
          </cell>
          <cell r="BC130">
            <v>-14382</v>
          </cell>
          <cell r="BD130">
            <v>-14396.249999999998</v>
          </cell>
          <cell r="BE130">
            <v>-14400.75</v>
          </cell>
          <cell r="BF130">
            <v>-14399.25</v>
          </cell>
          <cell r="BG130">
            <v>-14412.75</v>
          </cell>
          <cell r="BH130">
            <v>-14415.75</v>
          </cell>
          <cell r="BI130">
            <v>-14411.250000000002</v>
          </cell>
          <cell r="BJ130">
            <v>-14403.750000000002</v>
          </cell>
          <cell r="BK130">
            <v>-14409.75</v>
          </cell>
          <cell r="BL130">
            <v>-14416.5</v>
          </cell>
          <cell r="BM130">
            <v>-14412.75</v>
          </cell>
          <cell r="BN130">
            <v>-14417.249999999998</v>
          </cell>
          <cell r="BO130">
            <v>-14420.250000000002</v>
          </cell>
          <cell r="BP130">
            <v>-14405.25</v>
          </cell>
          <cell r="BQ130">
            <v>-14403</v>
          </cell>
          <cell r="BR130">
            <v>-14400</v>
          </cell>
          <cell r="BS130">
            <v>-14400</v>
          </cell>
          <cell r="BT130">
            <v>-14400.75</v>
          </cell>
          <cell r="BU130">
            <v>-14400.75</v>
          </cell>
          <cell r="BV130">
            <v>-14407.499999999998</v>
          </cell>
          <cell r="BW130">
            <v>-14403</v>
          </cell>
          <cell r="BX130">
            <v>-14387.25</v>
          </cell>
          <cell r="BY130">
            <v>-14381.25</v>
          </cell>
          <cell r="BZ130">
            <v>-14382.750000000002</v>
          </cell>
          <cell r="CA130">
            <v>-14407.499999999998</v>
          </cell>
          <cell r="CB130">
            <v>-14402.25</v>
          </cell>
          <cell r="CC130">
            <v>-14399.25</v>
          </cell>
          <cell r="CD130">
            <v>-14403</v>
          </cell>
          <cell r="CE130">
            <v>-14403</v>
          </cell>
          <cell r="CF130">
            <v>-14408.250000000002</v>
          </cell>
          <cell r="CG130">
            <v>-14408.250000000002</v>
          </cell>
          <cell r="CH130">
            <v>-14408.250000000002</v>
          </cell>
          <cell r="CI130">
            <v>-14409</v>
          </cell>
          <cell r="CJ130">
            <v>-14398.499999999998</v>
          </cell>
          <cell r="CK130">
            <v>-14397.75</v>
          </cell>
          <cell r="CL130">
            <v>-14397.75</v>
          </cell>
          <cell r="CM130">
            <v>-14397.75</v>
          </cell>
          <cell r="CN130">
            <v>-14394</v>
          </cell>
          <cell r="CO130">
            <v>-14399.25</v>
          </cell>
          <cell r="CP130">
            <v>-14397.75</v>
          </cell>
          <cell r="CQ130">
            <v>-14392.500000000002</v>
          </cell>
          <cell r="CR130">
            <v>-14414.999999999998</v>
          </cell>
          <cell r="CS130">
            <v>-14414.999999999998</v>
          </cell>
          <cell r="CT130">
            <v>-14417.249999999998</v>
          </cell>
          <cell r="CU130">
            <v>-14425.5</v>
          </cell>
          <cell r="CV130">
            <v>-14431.5</v>
          </cell>
          <cell r="CW130">
            <v>-14433.749999999998</v>
          </cell>
          <cell r="CX130">
            <v>-14439.000000000002</v>
          </cell>
          <cell r="CY130">
            <v>-14443.5</v>
          </cell>
          <cell r="CZ130">
            <v>-14435.25</v>
          </cell>
          <cell r="DA130">
            <v>-14440.5</v>
          </cell>
          <cell r="DB130">
            <v>-14431.5</v>
          </cell>
          <cell r="DC130">
            <v>-14426.249999999998</v>
          </cell>
          <cell r="DD130">
            <v>-14431.5</v>
          </cell>
          <cell r="DE130">
            <v>-14426.249999999998</v>
          </cell>
          <cell r="DF130">
            <v>-14426.249999999998</v>
          </cell>
          <cell r="DG130">
            <v>-14416.5</v>
          </cell>
          <cell r="DH130">
            <v>-14420.250000000002</v>
          </cell>
          <cell r="DI130">
            <v>-14405.25</v>
          </cell>
          <cell r="DJ130">
            <v>-14409</v>
          </cell>
          <cell r="DK130">
            <v>-14415.75</v>
          </cell>
          <cell r="DL130">
            <v>-14423.250000000002</v>
          </cell>
          <cell r="DM130">
            <v>-14419.5</v>
          </cell>
          <cell r="DN130">
            <v>-14417.249999999998</v>
          </cell>
          <cell r="DO130">
            <v>-14418.75</v>
          </cell>
          <cell r="DP130">
            <v>-14419.5</v>
          </cell>
          <cell r="DQ130">
            <v>-14409.75</v>
          </cell>
          <cell r="DR130">
            <v>-14415.75</v>
          </cell>
          <cell r="DS130">
            <v>-14427.000000000002</v>
          </cell>
          <cell r="DT130">
            <v>-14432.999999999998</v>
          </cell>
          <cell r="DU130">
            <v>-14424.75</v>
          </cell>
          <cell r="DV130">
            <v>-14439.75</v>
          </cell>
          <cell r="DW130">
            <v>-14447.25</v>
          </cell>
          <cell r="DX130">
            <v>-14444.999999999998</v>
          </cell>
          <cell r="DY130">
            <v>-14451</v>
          </cell>
          <cell r="DZ130">
            <v>-14453.25</v>
          </cell>
          <cell r="EA130">
            <v>-14462.25</v>
          </cell>
          <cell r="EB130">
            <v>-14458.5</v>
          </cell>
          <cell r="EC130">
            <v>-14465.25</v>
          </cell>
          <cell r="ED130">
            <v>-14472.75</v>
          </cell>
          <cell r="EE130">
            <v>-14466.749999999998</v>
          </cell>
          <cell r="EF130">
            <v>-14476.500000000002</v>
          </cell>
          <cell r="EG130">
            <v>-14480.25</v>
          </cell>
          <cell r="EH130">
            <v>-14493.75</v>
          </cell>
          <cell r="EI130">
            <v>-14489.249999999998</v>
          </cell>
          <cell r="EJ130">
            <v>-14498.250000000002</v>
          </cell>
          <cell r="EK130">
            <v>-14494.5</v>
          </cell>
          <cell r="EL130">
            <v>-14486.250000000002</v>
          </cell>
          <cell r="EM130">
            <v>-14496</v>
          </cell>
          <cell r="EN130">
            <v>-14484.75</v>
          </cell>
          <cell r="EO130">
            <v>-14482.499999999998</v>
          </cell>
          <cell r="EP130">
            <v>-14489.999999999998</v>
          </cell>
          <cell r="EQ130">
            <v>-14486.250000000002</v>
          </cell>
          <cell r="ER130">
            <v>-14499.75</v>
          </cell>
          <cell r="ES130">
            <v>-14538.749999999998</v>
          </cell>
          <cell r="ET130">
            <v>-14551.500000000002</v>
          </cell>
          <cell r="EU130">
            <v>-14557.499999999998</v>
          </cell>
          <cell r="EV130">
            <v>-14550</v>
          </cell>
          <cell r="EW130">
            <v>-14563.5</v>
          </cell>
          <cell r="EX130">
            <v>-14554.500000000002</v>
          </cell>
          <cell r="EY130">
            <v>-14564.999999999998</v>
          </cell>
          <cell r="EZ130">
            <v>-14571</v>
          </cell>
          <cell r="FA130">
            <v>-14565.75</v>
          </cell>
          <cell r="FB130">
            <v>-14565.75</v>
          </cell>
          <cell r="FC130">
            <v>-14562</v>
          </cell>
          <cell r="FD130">
            <v>-14562.75</v>
          </cell>
          <cell r="FE130">
            <v>-14569.5</v>
          </cell>
          <cell r="FF130">
            <v>-14577.000000000002</v>
          </cell>
          <cell r="FG130">
            <v>-14577.000000000002</v>
          </cell>
          <cell r="FH130">
            <v>-14571.75</v>
          </cell>
          <cell r="FI130">
            <v>-14575.5</v>
          </cell>
          <cell r="FJ130">
            <v>-14580.000000000002</v>
          </cell>
          <cell r="FK130">
            <v>-14569.5</v>
          </cell>
          <cell r="FL130">
            <v>-14572.500000000002</v>
          </cell>
          <cell r="FM130">
            <v>-14553</v>
          </cell>
          <cell r="FN130">
            <v>-14550</v>
          </cell>
          <cell r="FO130">
            <v>-14531.25</v>
          </cell>
          <cell r="FP130">
            <v>-14523.750000000002</v>
          </cell>
          <cell r="FQ130">
            <v>-14523.750000000002</v>
          </cell>
          <cell r="FR130">
            <v>-14530.5</v>
          </cell>
          <cell r="FS130">
            <v>-14533.5</v>
          </cell>
          <cell r="FT130">
            <v>-14534.25</v>
          </cell>
          <cell r="FU130">
            <v>-14531.25</v>
          </cell>
          <cell r="FV130">
            <v>-14532</v>
          </cell>
          <cell r="FW130">
            <v>-14517.000000000002</v>
          </cell>
          <cell r="FX130">
            <v>-14532</v>
          </cell>
          <cell r="FY130">
            <v>-14519.25</v>
          </cell>
          <cell r="FZ130">
            <v>-14507.999999999998</v>
          </cell>
          <cell r="GA130">
            <v>-14507.25</v>
          </cell>
          <cell r="GB130">
            <v>-14502.75</v>
          </cell>
          <cell r="GC130">
            <v>-14531.25</v>
          </cell>
          <cell r="GD130">
            <v>-14531.25</v>
          </cell>
          <cell r="GE130">
            <v>-14519.25</v>
          </cell>
          <cell r="GF130">
            <v>-14509.5</v>
          </cell>
          <cell r="GG130">
            <v>-14509.5</v>
          </cell>
          <cell r="GH130">
            <v>-14516.250000000002</v>
          </cell>
          <cell r="GI130">
            <v>-14522.999999999998</v>
          </cell>
          <cell r="GJ130">
            <v>-14534.25</v>
          </cell>
          <cell r="GK130">
            <v>-14540.25</v>
          </cell>
          <cell r="GL130">
            <v>-14497.500000000002</v>
          </cell>
          <cell r="GM130">
            <v>-14466</v>
          </cell>
          <cell r="GN130">
            <v>-14462.25</v>
          </cell>
          <cell r="GO130">
            <v>-14456.25</v>
          </cell>
          <cell r="GP130">
            <v>-14454.749999999998</v>
          </cell>
          <cell r="GQ130">
            <v>-14447.25</v>
          </cell>
          <cell r="GR130">
            <v>-14451.749999999998</v>
          </cell>
          <cell r="GS130">
            <v>-14447.25</v>
          </cell>
          <cell r="GT130">
            <v>-14440.5</v>
          </cell>
          <cell r="GU130">
            <v>-14443.5</v>
          </cell>
          <cell r="GV130">
            <v>-14454</v>
          </cell>
          <cell r="GW130">
            <v>-14460.000000000002</v>
          </cell>
          <cell r="GX130">
            <v>-14455.5</v>
          </cell>
          <cell r="GY130">
            <v>-14454.749999999998</v>
          </cell>
          <cell r="GZ130">
            <v>-14454.749999999998</v>
          </cell>
          <cell r="HA130">
            <v>-14448.750000000002</v>
          </cell>
          <cell r="HB130">
            <v>-14424.75</v>
          </cell>
          <cell r="HC130">
            <v>-14423.250000000002</v>
          </cell>
          <cell r="HD130">
            <v>-14424.75</v>
          </cell>
          <cell r="HE130">
            <v>-14427.000000000002</v>
          </cell>
          <cell r="HF130">
            <v>-14407.499999999998</v>
          </cell>
          <cell r="HG130">
            <v>-14407.499999999998</v>
          </cell>
          <cell r="HH130">
            <v>-14396.249999999998</v>
          </cell>
          <cell r="HI130">
            <v>-14388.749999999998</v>
          </cell>
          <cell r="HJ130">
            <v>-14404.500000000002</v>
          </cell>
          <cell r="HK130">
            <v>-14404.500000000002</v>
          </cell>
          <cell r="HL130">
            <v>-14398.499999999998</v>
          </cell>
          <cell r="HM130">
            <v>-14412</v>
          </cell>
          <cell r="HN130">
            <v>-14412.75</v>
          </cell>
          <cell r="HO130">
            <v>-14413.5</v>
          </cell>
          <cell r="HP130">
            <v>-14413.5</v>
          </cell>
          <cell r="HQ130">
            <v>-14419.5</v>
          </cell>
          <cell r="HR130">
            <v>-14419.5</v>
          </cell>
          <cell r="HS130">
            <v>-14407.499999999998</v>
          </cell>
          <cell r="HT130">
            <v>-14422.500000000002</v>
          </cell>
          <cell r="HU130">
            <v>-14420.250000000002</v>
          </cell>
          <cell r="HV130">
            <v>-14406</v>
          </cell>
          <cell r="HW130">
            <v>-14385.000000000002</v>
          </cell>
          <cell r="HX130">
            <v>-14373.750000000002</v>
          </cell>
          <cell r="HY130">
            <v>-14376.749999999998</v>
          </cell>
          <cell r="HZ130">
            <v>-14404.500000000002</v>
          </cell>
          <cell r="IA130">
            <v>-14402.25</v>
          </cell>
          <cell r="IB130">
            <v>-14394.75</v>
          </cell>
          <cell r="IC130">
            <v>-14384.25</v>
          </cell>
          <cell r="ID130">
            <v>-14367.75</v>
          </cell>
          <cell r="IE130">
            <v>-14358.749999999998</v>
          </cell>
          <cell r="IF130">
            <v>-14348.250000000002</v>
          </cell>
          <cell r="IG130">
            <v>-14355.75</v>
          </cell>
          <cell r="IH130">
            <v>-14360.999999999998</v>
          </cell>
          <cell r="II130">
            <v>-14360.999999999998</v>
          </cell>
          <cell r="IJ130">
            <v>-14362.5</v>
          </cell>
          <cell r="IK130">
            <v>-14374.5</v>
          </cell>
          <cell r="IL130">
            <v>-14384.25</v>
          </cell>
          <cell r="IM130">
            <v>-14382</v>
          </cell>
          <cell r="IN130">
            <v>-14383.5</v>
          </cell>
          <cell r="IO130">
            <v>-14392.500000000002</v>
          </cell>
          <cell r="IP130">
            <v>-14403</v>
          </cell>
          <cell r="IQ130">
            <v>-14383.5</v>
          </cell>
          <cell r="IR130">
            <v>-14374.5</v>
          </cell>
          <cell r="IS130">
            <v>-14371.5</v>
          </cell>
          <cell r="IT130">
            <v>-14385.000000000002</v>
          </cell>
          <cell r="IU130">
            <v>-14378.25</v>
          </cell>
          <cell r="IV130">
            <v>-14383.5</v>
          </cell>
          <cell r="IW130">
            <v>-14383.5</v>
          </cell>
          <cell r="IX130">
            <v>-14385.000000000002</v>
          </cell>
          <cell r="IY130">
            <v>-14367.75</v>
          </cell>
          <cell r="IZ130">
            <v>-14355.75</v>
          </cell>
          <cell r="JA130">
            <v>-14335.499999999998</v>
          </cell>
          <cell r="JB130">
            <v>-14349.75</v>
          </cell>
          <cell r="JC130">
            <v>-14343.75</v>
          </cell>
          <cell r="JD130">
            <v>-14341.5</v>
          </cell>
          <cell r="JE130">
            <v>-14354.249999999998</v>
          </cell>
          <cell r="JF130">
            <v>-14360.999999999998</v>
          </cell>
          <cell r="JG130">
            <v>-14352.75</v>
          </cell>
          <cell r="JH130">
            <v>-14352.75</v>
          </cell>
          <cell r="JI130">
            <v>-14348.250000000002</v>
          </cell>
          <cell r="JJ130">
            <v>-14361.75</v>
          </cell>
          <cell r="JK130">
            <v>-14349.75</v>
          </cell>
          <cell r="JL130">
            <v>-14358.749999999998</v>
          </cell>
          <cell r="JM130">
            <v>-14372.25</v>
          </cell>
          <cell r="JN130">
            <v>-14357.25</v>
          </cell>
          <cell r="JO130">
            <v>-14356.5</v>
          </cell>
          <cell r="JP130">
            <v>-14400.75</v>
          </cell>
          <cell r="JQ130">
            <v>-14393.25</v>
          </cell>
          <cell r="JR130">
            <v>-14407.499999999998</v>
          </cell>
          <cell r="JS130">
            <v>-14424</v>
          </cell>
          <cell r="JT130">
            <v>-14418.75</v>
          </cell>
          <cell r="JU130">
            <v>-14415.75</v>
          </cell>
          <cell r="JV130">
            <v>-14415.75</v>
          </cell>
          <cell r="JW130">
            <v>-14436.75</v>
          </cell>
          <cell r="JX130">
            <v>-14436.75</v>
          </cell>
          <cell r="JY130">
            <v>-14443.5</v>
          </cell>
          <cell r="JZ130">
            <v>-14437.5</v>
          </cell>
          <cell r="KA130">
            <v>-14435.999999999998</v>
          </cell>
          <cell r="KB130">
            <v>-14442.000000000002</v>
          </cell>
          <cell r="KC130">
            <v>-14433.749999999998</v>
          </cell>
          <cell r="KD130">
            <v>-14435.999999999998</v>
          </cell>
          <cell r="KE130">
            <v>-14425.5</v>
          </cell>
          <cell r="KF130">
            <v>-14414.999999999998</v>
          </cell>
          <cell r="KG130">
            <v>-14419.5</v>
          </cell>
          <cell r="KH130">
            <v>-14428.5</v>
          </cell>
          <cell r="KI130">
            <v>-14450.25</v>
          </cell>
          <cell r="KJ130">
            <v>-14455.5</v>
          </cell>
          <cell r="KK130">
            <v>-14468.25</v>
          </cell>
          <cell r="KL130">
            <v>-14474.25</v>
          </cell>
          <cell r="KM130">
            <v>-14468.25</v>
          </cell>
          <cell r="KN130">
            <v>-14461.5</v>
          </cell>
          <cell r="KO130">
            <v>-14460.750000000002</v>
          </cell>
          <cell r="KP130">
            <v>-14449.5</v>
          </cell>
          <cell r="KQ130">
            <v>-14459.25</v>
          </cell>
          <cell r="KR130">
            <v>-14442.75</v>
          </cell>
          <cell r="KS130">
            <v>-14443.5</v>
          </cell>
          <cell r="KT130">
            <v>-14434.5</v>
          </cell>
          <cell r="KU130">
            <v>-14434.5</v>
          </cell>
          <cell r="KV130">
            <v>-14442.000000000002</v>
          </cell>
          <cell r="KW130">
            <v>-14436.75</v>
          </cell>
          <cell r="KX130">
            <v>-14444.25</v>
          </cell>
          <cell r="KY130">
            <v>-14452.499999999998</v>
          </cell>
        </row>
        <row r="140">
          <cell r="D140">
            <v>-12.000000000000455</v>
          </cell>
          <cell r="E140">
            <v>-13.999999999998636</v>
          </cell>
          <cell r="F140">
            <v>-12.499999999998579</v>
          </cell>
          <cell r="G140">
            <v>-14.500000000001023</v>
          </cell>
          <cell r="H140">
            <v>-14.500000000001023</v>
          </cell>
          <cell r="I140">
            <v>-14.500000000001023</v>
          </cell>
          <cell r="J140">
            <v>-13.500000000000512</v>
          </cell>
          <cell r="K140">
            <v>-14.999999999999147</v>
          </cell>
          <cell r="L140">
            <v>-14.000000000000057</v>
          </cell>
          <cell r="M140">
            <v>-15.000000000000568</v>
          </cell>
          <cell r="N140">
            <v>-13.500000000000512</v>
          </cell>
          <cell r="O140">
            <v>-13.500000000000512</v>
          </cell>
          <cell r="P140">
            <v>-13.500000000000512</v>
          </cell>
          <cell r="Q140">
            <v>-13.000000000000966</v>
          </cell>
          <cell r="R140">
            <v>-13.499999999999091</v>
          </cell>
          <cell r="S140">
            <v>-12.5</v>
          </cell>
          <cell r="T140">
            <v>-12.000000000000455</v>
          </cell>
          <cell r="U140">
            <v>-11.999999999999034</v>
          </cell>
          <cell r="V140">
            <v>-12.500000000001421</v>
          </cell>
          <cell r="W140">
            <v>-11.499999999999488</v>
          </cell>
          <cell r="X140">
            <v>-10.499999999998977</v>
          </cell>
          <cell r="Y140">
            <v>-10.999999999998522</v>
          </cell>
          <cell r="Z140">
            <v>-12.5</v>
          </cell>
          <cell r="AA140">
            <v>-12.000000000001876</v>
          </cell>
          <cell r="AB140">
            <v>-11.499999999999488</v>
          </cell>
          <cell r="AC140">
            <v>-12.5</v>
          </cell>
          <cell r="AD140">
            <v>-10.500000000000398</v>
          </cell>
          <cell r="AE140">
            <v>-11.499999999999488</v>
          </cell>
          <cell r="AF140">
            <v>-11.499999999999488</v>
          </cell>
          <cell r="AG140">
            <v>-12.000000000000455</v>
          </cell>
          <cell r="AH140">
            <v>-10.999999999999943</v>
          </cell>
          <cell r="AI140">
            <v>-10.000000000000853</v>
          </cell>
          <cell r="AJ140">
            <v>-10.499999999998977</v>
          </cell>
          <cell r="AK140">
            <v>-10.499999999998977</v>
          </cell>
          <cell r="AL140">
            <v>-11.000000000001364</v>
          </cell>
          <cell r="AM140">
            <v>-10.499999999998977</v>
          </cell>
          <cell r="AN140">
            <v>-9.0000000000003411</v>
          </cell>
          <cell r="AO140">
            <v>-8.0000000000012506</v>
          </cell>
          <cell r="AP140">
            <v>-7.5000000000017053</v>
          </cell>
          <cell r="AQ140">
            <v>-7.9999999999998295</v>
          </cell>
          <cell r="AR140">
            <v>-7.000000000000739</v>
          </cell>
          <cell r="AS140">
            <v>-7.4999999999988631</v>
          </cell>
          <cell r="AT140">
            <v>-8.5000000000007958</v>
          </cell>
          <cell r="AU140">
            <v>-7.9999999999998295</v>
          </cell>
          <cell r="AV140">
            <v>-8.4999999999993747</v>
          </cell>
          <cell r="AW140">
            <v>-7.5000000000002842</v>
          </cell>
          <cell r="AX140">
            <v>-6.9999999999993179</v>
          </cell>
          <cell r="AY140">
            <v>-8.0000000000012506</v>
          </cell>
          <cell r="AZ140">
            <v>-8.0000000000012506</v>
          </cell>
          <cell r="BA140">
            <v>-8.4999999999993747</v>
          </cell>
          <cell r="BB140">
            <v>-8.5000000000007958</v>
          </cell>
          <cell r="BC140">
            <v>-8.5000000000007958</v>
          </cell>
          <cell r="BD140">
            <v>-8.5000000000007958</v>
          </cell>
          <cell r="BE140">
            <v>-9.0000000000003411</v>
          </cell>
          <cell r="BF140">
            <v>-9.4999999999984652</v>
          </cell>
          <cell r="BG140">
            <v>-8.4999999999979536</v>
          </cell>
          <cell r="BH140">
            <v>-9.9999999999994316</v>
          </cell>
          <cell r="BI140">
            <v>-9.4999999999998863</v>
          </cell>
          <cell r="BJ140">
            <v>-10.999999999999943</v>
          </cell>
          <cell r="BK140">
            <v>-10.000000000002274</v>
          </cell>
          <cell r="BL140">
            <v>-9.0000000000017621</v>
          </cell>
          <cell r="BM140">
            <v>-8.4999999999993747</v>
          </cell>
          <cell r="BN140">
            <v>-7.9999999999998295</v>
          </cell>
          <cell r="BO140">
            <v>-8.0000000000012506</v>
          </cell>
          <cell r="BP140">
            <v>-7.9999999999998295</v>
          </cell>
          <cell r="BQ140">
            <v>-9.0000000000003411</v>
          </cell>
          <cell r="BR140">
            <v>-10.500000000001819</v>
          </cell>
          <cell r="BS140">
            <v>-10.500000000000398</v>
          </cell>
          <cell r="BT140">
            <v>-9.9999999999994316</v>
          </cell>
          <cell r="BU140">
            <v>-9.4999999999998863</v>
          </cell>
          <cell r="BV140">
            <v>-9.4999999999998863</v>
          </cell>
          <cell r="BW140">
            <v>-9.5000000000013074</v>
          </cell>
          <cell r="BX140">
            <v>-11.499999999999488</v>
          </cell>
          <cell r="BY140">
            <v>-10.000000000000853</v>
          </cell>
          <cell r="BZ140">
            <v>-10.000000000000853</v>
          </cell>
          <cell r="CA140">
            <v>-9.5000000000013074</v>
          </cell>
          <cell r="CB140">
            <v>-10.500000000000398</v>
          </cell>
          <cell r="CC140">
            <v>-10.499999999998977</v>
          </cell>
          <cell r="CD140">
            <v>-10.500000000000398</v>
          </cell>
          <cell r="CE140">
            <v>-10.999999999999943</v>
          </cell>
          <cell r="CF140">
            <v>-12.5</v>
          </cell>
          <cell r="CG140">
            <v>-12.499999999998579</v>
          </cell>
          <cell r="CH140">
            <v>-12.499999999998579</v>
          </cell>
          <cell r="CI140">
            <v>-12.5</v>
          </cell>
          <cell r="CJ140">
            <v>-13.000000000000966</v>
          </cell>
          <cell r="CK140">
            <v>-13.499999999999091</v>
          </cell>
          <cell r="CL140">
            <v>-13.499999999999091</v>
          </cell>
          <cell r="CM140">
            <v>-13.499999999999091</v>
          </cell>
          <cell r="CN140">
            <v>-14.000000000000057</v>
          </cell>
          <cell r="CO140">
            <v>-13.500000000000512</v>
          </cell>
          <cell r="CP140">
            <v>-12.000000000000455</v>
          </cell>
          <cell r="CQ140">
            <v>-13.499999999999091</v>
          </cell>
          <cell r="CR140">
            <v>-12.000000000000455</v>
          </cell>
          <cell r="CS140">
            <v>-10.999999999998522</v>
          </cell>
          <cell r="CT140">
            <v>-10.500000000000398</v>
          </cell>
          <cell r="CU140">
            <v>-13.000000000000966</v>
          </cell>
          <cell r="CV140">
            <v>-13.499999999999091</v>
          </cell>
          <cell r="CW140">
            <v>-13.500000000001933</v>
          </cell>
          <cell r="CX140">
            <v>-12.999999999999545</v>
          </cell>
          <cell r="CY140">
            <v>-13.000000000000966</v>
          </cell>
          <cell r="CZ140">
            <v>-13.500000000000512</v>
          </cell>
          <cell r="DA140">
            <v>-12.5</v>
          </cell>
          <cell r="DB140">
            <v>-12.5</v>
          </cell>
          <cell r="DC140">
            <v>-14.499999999999602</v>
          </cell>
          <cell r="DD140">
            <v>-14.000000000000057</v>
          </cell>
          <cell r="DE140">
            <v>-14.499999999999602</v>
          </cell>
          <cell r="DF140">
            <v>-14.500000000001023</v>
          </cell>
          <cell r="DG140">
            <v>-15.00000000000199</v>
          </cell>
          <cell r="DH140">
            <v>-14.999999999999147</v>
          </cell>
          <cell r="DI140">
            <v>-14.499999999999602</v>
          </cell>
          <cell r="DJ140">
            <v>-13.999999999998636</v>
          </cell>
          <cell r="DK140">
            <v>-13.499999999999091</v>
          </cell>
          <cell r="DL140">
            <v>-14.000000000000057</v>
          </cell>
          <cell r="DM140">
            <v>-12.499999999998579</v>
          </cell>
          <cell r="DN140">
            <v>-12.999999999999545</v>
          </cell>
          <cell r="DO140">
            <v>-13.500000000000512</v>
          </cell>
          <cell r="DP140">
            <v>-13.999999999998636</v>
          </cell>
          <cell r="DQ140">
            <v>-14.000000000000057</v>
          </cell>
          <cell r="DR140">
            <v>-14.000000000000057</v>
          </cell>
          <cell r="DS140">
            <v>-13.000000000000966</v>
          </cell>
          <cell r="DT140">
            <v>-12.5</v>
          </cell>
          <cell r="DU140">
            <v>-12.000000000001876</v>
          </cell>
          <cell r="DV140">
            <v>-10.999999999999943</v>
          </cell>
          <cell r="DW140">
            <v>-10.999999999999943</v>
          </cell>
          <cell r="DX140">
            <v>-10.999999999999943</v>
          </cell>
          <cell r="DY140">
            <v>-11.499999999999488</v>
          </cell>
          <cell r="DZ140">
            <v>-11.499999999999488</v>
          </cell>
          <cell r="EA140">
            <v>-9.4999999999998863</v>
          </cell>
          <cell r="EB140">
            <v>-9.0000000000003411</v>
          </cell>
          <cell r="EC140">
            <v>-8.4999999999993747</v>
          </cell>
          <cell r="ED140">
            <v>-7.9999999999984084</v>
          </cell>
          <cell r="EE140">
            <v>-7.4999999999988631</v>
          </cell>
          <cell r="EF140">
            <v>-7.5000000000002842</v>
          </cell>
          <cell r="EG140">
            <v>-6.9999999999993179</v>
          </cell>
          <cell r="EH140">
            <v>-6.9999999999993179</v>
          </cell>
          <cell r="EI140">
            <v>-6.5000000000011937</v>
          </cell>
          <cell r="EJ140">
            <v>-5.5000000000021032</v>
          </cell>
          <cell r="EK140">
            <v>-6.9999999999993179</v>
          </cell>
          <cell r="EL140">
            <v>-6.4999999999997726</v>
          </cell>
          <cell r="EM140">
            <v>-8.0000000000012506</v>
          </cell>
          <cell r="EN140">
            <v>-8.99999999999892</v>
          </cell>
          <cell r="EO140">
            <v>-8.4999999999979536</v>
          </cell>
          <cell r="EP140">
            <v>-8.0000000000012506</v>
          </cell>
          <cell r="EQ140">
            <v>-7.9999999999998295</v>
          </cell>
          <cell r="ER140">
            <v>-8.5000000000007958</v>
          </cell>
          <cell r="ES140">
            <v>-7.5000000000017053</v>
          </cell>
          <cell r="ET140">
            <v>-7.5000000000017053</v>
          </cell>
          <cell r="EU140">
            <v>-8.4999999999993747</v>
          </cell>
          <cell r="EV140">
            <v>-9.0000000000003411</v>
          </cell>
          <cell r="EW140">
            <v>-7.9999999999998295</v>
          </cell>
          <cell r="EX140">
            <v>-8.4999999999993747</v>
          </cell>
          <cell r="EY140">
            <v>-8.0000000000012506</v>
          </cell>
          <cell r="EZ140">
            <v>-8.5000000000007958</v>
          </cell>
          <cell r="FA140">
            <v>-8.0000000000012506</v>
          </cell>
          <cell r="FB140">
            <v>-6.4999999999997726</v>
          </cell>
          <cell r="FC140">
            <v>-7.000000000000739</v>
          </cell>
          <cell r="FD140">
            <v>-8.4999999999993747</v>
          </cell>
          <cell r="FE140">
            <v>-7.5000000000002842</v>
          </cell>
          <cell r="FF140">
            <v>-6.5000000000011937</v>
          </cell>
          <cell r="FG140">
            <v>-7.5000000000002842</v>
          </cell>
          <cell r="FH140">
            <v>-7.9999999999998295</v>
          </cell>
          <cell r="FI140">
            <v>-8.5000000000007958</v>
          </cell>
          <cell r="FJ140">
            <v>-8.5000000000007958</v>
          </cell>
          <cell r="FK140">
            <v>-7.9999999999998295</v>
          </cell>
          <cell r="FL140">
            <v>-7.9999999999998295</v>
          </cell>
          <cell r="FM140">
            <v>-8.4999999999993747</v>
          </cell>
          <cell r="FN140">
            <v>-8.0000000000012506</v>
          </cell>
          <cell r="FO140">
            <v>-8.4999999999993747</v>
          </cell>
          <cell r="FP140">
            <v>-8.99999999999892</v>
          </cell>
          <cell r="FQ140">
            <v>-8.4999999999993747</v>
          </cell>
          <cell r="FR140">
            <v>-7.5000000000002842</v>
          </cell>
          <cell r="FS140">
            <v>-7.4999999999988631</v>
          </cell>
          <cell r="FT140">
            <v>-6.9999999999993179</v>
          </cell>
          <cell r="FU140">
            <v>-8.0000000000012506</v>
          </cell>
          <cell r="FV140">
            <v>-7.5000000000002842</v>
          </cell>
          <cell r="FW140">
            <v>-7.5000000000002842</v>
          </cell>
          <cell r="FX140">
            <v>-7.5000000000002842</v>
          </cell>
          <cell r="FY140">
            <v>-7.000000000000739</v>
          </cell>
          <cell r="FZ140">
            <v>-8.0000000000012506</v>
          </cell>
          <cell r="GA140">
            <v>-7.5000000000002842</v>
          </cell>
          <cell r="GB140">
            <v>-6.4999999999997726</v>
          </cell>
          <cell r="GC140">
            <v>-6.9999999999993179</v>
          </cell>
          <cell r="GD140">
            <v>-6.9999999999993179</v>
          </cell>
          <cell r="GE140">
            <v>-7.9999999999984084</v>
          </cell>
          <cell r="GF140">
            <v>-6.9999999999993179</v>
          </cell>
          <cell r="GG140">
            <v>-8.0000000000012506</v>
          </cell>
          <cell r="GH140">
            <v>-7.4999999999988631</v>
          </cell>
          <cell r="GI140">
            <v>-7.9999999999998295</v>
          </cell>
          <cell r="GJ140">
            <v>-7.4999999999988631</v>
          </cell>
          <cell r="GK140">
            <v>-6.4999999999997726</v>
          </cell>
          <cell r="GL140">
            <v>-7.5000000000002842</v>
          </cell>
          <cell r="GM140">
            <v>-7.9999999999998295</v>
          </cell>
          <cell r="GN140">
            <v>-8.4999999999993747</v>
          </cell>
          <cell r="GO140">
            <v>-7.9999999999998295</v>
          </cell>
          <cell r="GP140">
            <v>-8.4999999999993747</v>
          </cell>
          <cell r="GQ140">
            <v>-7.5000000000002842</v>
          </cell>
          <cell r="GR140">
            <v>-7.5000000000017053</v>
          </cell>
          <cell r="GS140">
            <v>-5.9999999999988063</v>
          </cell>
          <cell r="GT140">
            <v>-6.4999999999983515</v>
          </cell>
          <cell r="GU140">
            <v>-6.9999999999993179</v>
          </cell>
          <cell r="GV140">
            <v>-6.9999999999993179</v>
          </cell>
          <cell r="GW140">
            <v>-6.0000000000002274</v>
          </cell>
          <cell r="GX140">
            <v>-6.9999999999993179</v>
          </cell>
          <cell r="GY140">
            <v>-7.000000000000739</v>
          </cell>
          <cell r="GZ140">
            <v>-7.5000000000002842</v>
          </cell>
          <cell r="HA140">
            <v>-7.5000000000002842</v>
          </cell>
          <cell r="HB140">
            <v>-5.499999999999261</v>
          </cell>
          <cell r="HC140">
            <v>-6.0000000000002274</v>
          </cell>
          <cell r="HD140">
            <v>-6.0000000000016485</v>
          </cell>
          <cell r="HE140">
            <v>-6.4999999999997726</v>
          </cell>
          <cell r="HF140">
            <v>-6.0000000000002274</v>
          </cell>
          <cell r="HG140">
            <v>-7.000000000000739</v>
          </cell>
          <cell r="HH140">
            <v>-7.5000000000002842</v>
          </cell>
          <cell r="HI140">
            <v>-5.9999999999988063</v>
          </cell>
          <cell r="HJ140">
            <v>-6.5000000000011937</v>
          </cell>
          <cell r="HK140">
            <v>-7.000000000000739</v>
          </cell>
          <cell r="HL140">
            <v>-7.000000000000739</v>
          </cell>
          <cell r="HM140">
            <v>-6.0000000000002274</v>
          </cell>
          <cell r="HN140">
            <v>-6.0000000000002274</v>
          </cell>
          <cell r="HO140">
            <v>-6.4999999999997726</v>
          </cell>
          <cell r="HP140">
            <v>-6.4999999999997726</v>
          </cell>
          <cell r="HQ140">
            <v>-6.4999999999997726</v>
          </cell>
          <cell r="HR140">
            <v>-6.9999999999993179</v>
          </cell>
          <cell r="HS140">
            <v>-6.9999999999993179</v>
          </cell>
          <cell r="HT140">
            <v>-5.9999999999988063</v>
          </cell>
          <cell r="HU140">
            <v>-4.4999999999987494</v>
          </cell>
          <cell r="HV140">
            <v>-5.5000000000006821</v>
          </cell>
          <cell r="HW140">
            <v>-6.0000000000002274</v>
          </cell>
          <cell r="HX140">
            <v>-5.5000000000006821</v>
          </cell>
          <cell r="HY140">
            <v>-4.9999999999997158</v>
          </cell>
          <cell r="HZ140">
            <v>-5.0000000000011369</v>
          </cell>
          <cell r="IA140">
            <v>-6.0000000000002274</v>
          </cell>
          <cell r="IB140">
            <v>-5.5000000000006821</v>
          </cell>
          <cell r="IC140">
            <v>-4.9999999999997158</v>
          </cell>
          <cell r="ID140">
            <v>-4.0000000000006253</v>
          </cell>
          <cell r="IE140">
            <v>-4.5000000000001705</v>
          </cell>
          <cell r="IF140">
            <v>-4.9999999999997158</v>
          </cell>
          <cell r="IG140">
            <v>-4.9999999999997158</v>
          </cell>
          <cell r="IH140">
            <v>-4.9999999999997158</v>
          </cell>
          <cell r="II140">
            <v>-3.9999999999992042</v>
          </cell>
          <cell r="IJ140">
            <v>-4.5000000000001705</v>
          </cell>
          <cell r="IK140">
            <v>-4.5000000000001705</v>
          </cell>
          <cell r="IL140">
            <v>-4.0000000000006253</v>
          </cell>
          <cell r="IM140">
            <v>-4.0000000000006253</v>
          </cell>
          <cell r="IN140">
            <v>-3.0000000000001137</v>
          </cell>
          <cell r="IO140">
            <v>-3.50000000000108</v>
          </cell>
          <cell r="IP140">
            <v>-4.0000000000020464</v>
          </cell>
          <cell r="IQ140">
            <v>-3.9999999999992042</v>
          </cell>
          <cell r="IR140">
            <v>-3.9999999999977831</v>
          </cell>
          <cell r="IS140">
            <v>-3.9999999999992042</v>
          </cell>
          <cell r="IT140">
            <v>-4.0000000000006253</v>
          </cell>
          <cell r="IU140">
            <v>-4.5000000000001705</v>
          </cell>
          <cell r="IV140">
            <v>-4.4999999999987494</v>
          </cell>
          <cell r="IW140">
            <v>-4.4999999999987494</v>
          </cell>
          <cell r="IX140">
            <v>-4.5000000000001705</v>
          </cell>
          <cell r="IY140">
            <v>-3.9999999999992042</v>
          </cell>
          <cell r="IZ140">
            <v>-4.4999999999987494</v>
          </cell>
          <cell r="JA140">
            <v>-3.4999999999982379</v>
          </cell>
          <cell r="JB140">
            <v>-4.0000000000006253</v>
          </cell>
          <cell r="JC140">
            <v>-4.5000000000001705</v>
          </cell>
          <cell r="JD140">
            <v>-4.9999999999997158</v>
          </cell>
          <cell r="JE140">
            <v>-5.0000000000011369</v>
          </cell>
          <cell r="JF140">
            <v>-4.5000000000001705</v>
          </cell>
          <cell r="JG140">
            <v>-3.9999999999992042</v>
          </cell>
          <cell r="JH140">
            <v>-4.5000000000001705</v>
          </cell>
          <cell r="JI140">
            <v>-5.499999999999261</v>
          </cell>
          <cell r="JJ140">
            <v>-6.4999999999983515</v>
          </cell>
          <cell r="JK140">
            <v>-6.0000000000002274</v>
          </cell>
          <cell r="JL140">
            <v>-5.499999999999261</v>
          </cell>
          <cell r="JM140">
            <v>-5.499999999999261</v>
          </cell>
          <cell r="JN140">
            <v>-4.5000000000001705</v>
          </cell>
          <cell r="JO140">
            <v>-3.4999999999996589</v>
          </cell>
          <cell r="JP140">
            <v>-3.4999999999996589</v>
          </cell>
          <cell r="JQ140">
            <v>-3.0000000000001137</v>
          </cell>
          <cell r="JR140">
            <v>-3.4999999999996589</v>
          </cell>
          <cell r="JS140">
            <v>-3.0000000000001137</v>
          </cell>
          <cell r="JT140">
            <v>-3.9999999999992042</v>
          </cell>
          <cell r="JU140">
            <v>-4.5000000000001705</v>
          </cell>
          <cell r="JV140">
            <v>-2.9999999999986926</v>
          </cell>
          <cell r="JW140">
            <v>-2.9999999999986926</v>
          </cell>
          <cell r="JX140">
            <v>-2.9999999999986926</v>
          </cell>
          <cell r="JY140">
            <v>-3.50000000000108</v>
          </cell>
          <cell r="JZ140">
            <v>-4.0000000000006253</v>
          </cell>
          <cell r="KA140">
            <v>-3.9999999999992042</v>
          </cell>
          <cell r="KB140">
            <v>-4.5000000000001705</v>
          </cell>
          <cell r="KC140">
            <v>-4.9999999999997158</v>
          </cell>
          <cell r="KD140">
            <v>-4.9999999999997158</v>
          </cell>
          <cell r="KE140">
            <v>-5.5000000000006821</v>
          </cell>
          <cell r="KF140">
            <v>-4.5000000000001705</v>
          </cell>
          <cell r="KG140">
            <v>-4.9999999999997158</v>
          </cell>
          <cell r="KH140">
            <v>-5.499999999999261</v>
          </cell>
          <cell r="KI140">
            <v>-4.9999999999997158</v>
          </cell>
          <cell r="KJ140">
            <v>-6.0000000000002274</v>
          </cell>
          <cell r="KK140">
            <v>-6.4999999999997726</v>
          </cell>
          <cell r="KL140">
            <v>-7.000000000000739</v>
          </cell>
          <cell r="KM140">
            <v>-6.4999999999997726</v>
          </cell>
          <cell r="KN140">
            <v>-5.5000000000006821</v>
          </cell>
          <cell r="KO140">
            <v>-5.499999999999261</v>
          </cell>
          <cell r="KP140">
            <v>-6.4999999999997726</v>
          </cell>
          <cell r="KQ140">
            <v>-6.5000000000011937</v>
          </cell>
          <cell r="KR140">
            <v>-5.499999999999261</v>
          </cell>
          <cell r="KS140">
            <v>-6.5000000000011937</v>
          </cell>
          <cell r="KT140">
            <v>-5.5000000000006821</v>
          </cell>
          <cell r="KU140">
            <v>-5.5000000000006821</v>
          </cell>
          <cell r="KV140">
            <v>-6.0000000000002274</v>
          </cell>
          <cell r="KW140">
            <v>-5.5000000000006821</v>
          </cell>
          <cell r="KX140">
            <v>-7.000000000000739</v>
          </cell>
          <cell r="KY140">
            <v>-6.4999999999997726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  <cell r="IL150">
            <v>0</v>
          </cell>
          <cell r="IM150">
            <v>0</v>
          </cell>
          <cell r="IN150">
            <v>0</v>
          </cell>
          <cell r="IO150">
            <v>0</v>
          </cell>
          <cell r="IP150">
            <v>0</v>
          </cell>
          <cell r="IQ150">
            <v>0</v>
          </cell>
          <cell r="IR150">
            <v>0</v>
          </cell>
          <cell r="IS150">
            <v>0</v>
          </cell>
          <cell r="IT150">
            <v>0</v>
          </cell>
          <cell r="IU150">
            <v>0</v>
          </cell>
          <cell r="IV150">
            <v>0</v>
          </cell>
          <cell r="IW150">
            <v>0</v>
          </cell>
          <cell r="IX150">
            <v>0</v>
          </cell>
          <cell r="IY150">
            <v>0</v>
          </cell>
          <cell r="IZ150">
            <v>0</v>
          </cell>
          <cell r="JA150">
            <v>0</v>
          </cell>
          <cell r="JB150">
            <v>0</v>
          </cell>
          <cell r="JC150">
            <v>0</v>
          </cell>
          <cell r="JD150">
            <v>0</v>
          </cell>
          <cell r="JE150">
            <v>0</v>
          </cell>
          <cell r="JF150">
            <v>0</v>
          </cell>
          <cell r="JG150">
            <v>0</v>
          </cell>
          <cell r="JH150">
            <v>0</v>
          </cell>
          <cell r="JI150">
            <v>0</v>
          </cell>
          <cell r="JJ150">
            <v>0</v>
          </cell>
          <cell r="JK150">
            <v>0</v>
          </cell>
          <cell r="JL150">
            <v>0</v>
          </cell>
          <cell r="JM150">
            <v>0</v>
          </cell>
          <cell r="JN150">
            <v>0</v>
          </cell>
          <cell r="JO150">
            <v>0</v>
          </cell>
          <cell r="JP150">
            <v>0</v>
          </cell>
          <cell r="JQ150">
            <v>0</v>
          </cell>
          <cell r="JR150">
            <v>0</v>
          </cell>
          <cell r="JS150">
            <v>0</v>
          </cell>
          <cell r="JT150">
            <v>0</v>
          </cell>
          <cell r="JU150">
            <v>0</v>
          </cell>
          <cell r="JV150">
            <v>0</v>
          </cell>
          <cell r="JW150">
            <v>0</v>
          </cell>
          <cell r="JX150">
            <v>0</v>
          </cell>
          <cell r="JY150">
            <v>0</v>
          </cell>
          <cell r="JZ150">
            <v>0</v>
          </cell>
          <cell r="KA150">
            <v>0</v>
          </cell>
          <cell r="KB150">
            <v>0</v>
          </cell>
          <cell r="KC150">
            <v>0</v>
          </cell>
          <cell r="KD150">
            <v>0</v>
          </cell>
          <cell r="KE150">
            <v>0</v>
          </cell>
          <cell r="KF150">
            <v>0</v>
          </cell>
          <cell r="KG150">
            <v>0</v>
          </cell>
          <cell r="KH150">
            <v>0</v>
          </cell>
          <cell r="KI150">
            <v>0</v>
          </cell>
          <cell r="KJ150">
            <v>0</v>
          </cell>
          <cell r="KK150">
            <v>0</v>
          </cell>
          <cell r="KL150">
            <v>0</v>
          </cell>
          <cell r="KM150">
            <v>0</v>
          </cell>
          <cell r="KN150">
            <v>0</v>
          </cell>
          <cell r="KO150">
            <v>0</v>
          </cell>
          <cell r="KP150">
            <v>0</v>
          </cell>
          <cell r="KQ150">
            <v>0</v>
          </cell>
          <cell r="KR150">
            <v>0</v>
          </cell>
          <cell r="KS150">
            <v>0</v>
          </cell>
          <cell r="KT150">
            <v>0</v>
          </cell>
          <cell r="KU150">
            <v>0</v>
          </cell>
          <cell r="KV150">
            <v>0</v>
          </cell>
          <cell r="KW150">
            <v>0</v>
          </cell>
          <cell r="KX150">
            <v>0</v>
          </cell>
          <cell r="KY150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  <cell r="IW160">
            <v>0</v>
          </cell>
          <cell r="IX160">
            <v>0</v>
          </cell>
          <cell r="IY160">
            <v>0</v>
          </cell>
          <cell r="IZ160">
            <v>0</v>
          </cell>
          <cell r="JA160">
            <v>0</v>
          </cell>
          <cell r="JB160">
            <v>0</v>
          </cell>
          <cell r="JC160">
            <v>0</v>
          </cell>
          <cell r="JD160">
            <v>0</v>
          </cell>
          <cell r="JE160">
            <v>0</v>
          </cell>
          <cell r="JF160">
            <v>0</v>
          </cell>
          <cell r="JG160">
            <v>0</v>
          </cell>
          <cell r="JH160">
            <v>0</v>
          </cell>
          <cell r="JI160">
            <v>0</v>
          </cell>
          <cell r="JJ160">
            <v>0</v>
          </cell>
          <cell r="JK160">
            <v>0</v>
          </cell>
          <cell r="JL160">
            <v>0</v>
          </cell>
          <cell r="JM160">
            <v>0</v>
          </cell>
          <cell r="JN160">
            <v>0</v>
          </cell>
          <cell r="JO160">
            <v>0</v>
          </cell>
          <cell r="JP160">
            <v>0</v>
          </cell>
          <cell r="JQ160">
            <v>0</v>
          </cell>
          <cell r="JR160">
            <v>0</v>
          </cell>
          <cell r="JS160">
            <v>0</v>
          </cell>
          <cell r="JT160">
            <v>0</v>
          </cell>
          <cell r="JU160">
            <v>0</v>
          </cell>
          <cell r="JV160">
            <v>0</v>
          </cell>
          <cell r="JW160">
            <v>0</v>
          </cell>
          <cell r="JX160">
            <v>0</v>
          </cell>
          <cell r="JY160">
            <v>0</v>
          </cell>
          <cell r="JZ160">
            <v>0</v>
          </cell>
          <cell r="KA160">
            <v>0</v>
          </cell>
          <cell r="KB160">
            <v>0</v>
          </cell>
          <cell r="KC160">
            <v>0</v>
          </cell>
          <cell r="KD160">
            <v>0</v>
          </cell>
          <cell r="KE160">
            <v>0</v>
          </cell>
          <cell r="KF160">
            <v>0</v>
          </cell>
          <cell r="KG160">
            <v>0</v>
          </cell>
          <cell r="KH160">
            <v>0</v>
          </cell>
          <cell r="KI160">
            <v>0</v>
          </cell>
          <cell r="KJ160">
            <v>0</v>
          </cell>
          <cell r="KK160">
            <v>0</v>
          </cell>
          <cell r="KL160">
            <v>0</v>
          </cell>
          <cell r="KM160">
            <v>0</v>
          </cell>
          <cell r="KN160">
            <v>0</v>
          </cell>
          <cell r="KO160">
            <v>0</v>
          </cell>
          <cell r="KP160">
            <v>0</v>
          </cell>
          <cell r="KQ160">
            <v>0</v>
          </cell>
          <cell r="KR160">
            <v>0</v>
          </cell>
          <cell r="KS160">
            <v>0</v>
          </cell>
          <cell r="KT160">
            <v>0</v>
          </cell>
          <cell r="KU160">
            <v>0</v>
          </cell>
          <cell r="KV160">
            <v>0</v>
          </cell>
          <cell r="KW160">
            <v>0</v>
          </cell>
          <cell r="KX160">
            <v>0</v>
          </cell>
          <cell r="KY16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1F72C7AF4DBECE44" itemId="1F72C7AF4DBECE44!sf90344063be04bb18520fc634e683291">
      <xxl21:absoluteUrl r:id="rId2"/>
      <xxl21:relativeUrl r:id="rId3"/>
    </xxl21:alternateUrls>
    <sheetNames>
      <sheetName val="snap brazil"/>
      <sheetName val="snap"/>
      <sheetName val="VIX"/>
      <sheetName val="assignment"/>
      <sheetName val="holidays"/>
      <sheetName val="FRA brazil"/>
      <sheetName val="exposure"/>
      <sheetName val="Inter"/>
      <sheetName val="rtd brazil"/>
      <sheetName val="RTD"/>
      <sheetName val="SZI0"/>
      <sheetName val="fixing"/>
      <sheetName val="rank SR"/>
      <sheetName val="rank ER3"/>
      <sheetName val="rank CR"/>
      <sheetName val="rank SO"/>
      <sheetName val="rank ER"/>
      <sheetName val="rank SA"/>
      <sheetName val="settlement_PX"/>
      <sheetName val="COD data"/>
      <sheetName val="inter_b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3E18-A4F0-44C7-95E2-D9BE97524FD7}">
  <dimension ref="A1:X44"/>
  <sheetViews>
    <sheetView tabSelected="1" workbookViewId="0">
      <selection activeCell="K18" sqref="K18"/>
    </sheetView>
  </sheetViews>
  <sheetFormatPr defaultRowHeight="15" x14ac:dyDescent="0.25"/>
  <sheetData>
    <row r="1" spans="1:24" s="22" customFormat="1" x14ac:dyDescent="0.25">
      <c r="A1" s="22" t="s">
        <v>86</v>
      </c>
      <c r="B1" s="23" t="s">
        <v>0</v>
      </c>
      <c r="C1" s="23"/>
      <c r="K1" s="24"/>
      <c r="L1" s="24"/>
    </row>
    <row r="2" spans="1:24" s="1" customFormat="1" x14ac:dyDescent="0.25">
      <c r="A2" s="25" t="s">
        <v>86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24" x14ac:dyDescent="0.25">
      <c r="A3" s="11" t="str">
        <f ca="1">$A$2&amp;LEFT('cont list_bg'!G6,1)&amp;RIGHT('cont list_bg'!G6,1)</f>
        <v>SR3H6</v>
      </c>
      <c r="B3" s="9" t="str">
        <f ca="1">RTD("tt.rtd",,"Inst",$B$1,$A3)</f>
        <v>2264814074172926158</v>
      </c>
      <c r="C3" s="10" t="str">
        <f ca="1">RIGHT(RTD("tt.rtd",,$B3,C$2),2)</f>
        <v>H6</v>
      </c>
      <c r="D3" s="10" t="str">
        <f ca="1">RTD("tt.rtd",,$B3,D$2)</f>
        <v>96.3775</v>
      </c>
      <c r="E3" s="10" t="str">
        <f ca="1">RTD("tt.rtd",,$B3,E$2)</f>
        <v>96.3750</v>
      </c>
      <c r="F3" s="10" t="str">
        <f ca="1">RTD("tt.rtd",,$B3,F$2)</f>
        <v>96.3775</v>
      </c>
      <c r="G3" s="10">
        <f ca="1">RTD("tt.rtd",,$B3,G$2)</f>
        <v>1</v>
      </c>
      <c r="H3" s="10" t="str">
        <f ca="1">RTD("tt.rtd",,$B3,H$2)</f>
        <v>96.3750</v>
      </c>
      <c r="I3" s="10" t="str">
        <f ca="1">RTD("tt.rtd",,$B3,I$2)</f>
        <v>Open</v>
      </c>
      <c r="J3" s="10">
        <f ca="1">RTD("tt.rtd",,$B3,J$2)</f>
        <v>1</v>
      </c>
      <c r="K3" s="5">
        <f t="shared" ref="K3:K27" ca="1" si="0">IFERROR(IF(I3="Open",(E3+D3)/2,H3),H3)</f>
        <v>96.376249999999999</v>
      </c>
      <c r="L3" s="5" t="str">
        <f t="shared" ref="L3:L27" ca="1" si="1">IF(AND(I3="Open",G3&gt;0),F3,K3)</f>
        <v>96.3775</v>
      </c>
      <c r="M3" s="27"/>
      <c r="Q3" s="5"/>
      <c r="R3" s="5"/>
      <c r="S3" s="5"/>
      <c r="T3" s="5"/>
      <c r="U3" s="5"/>
      <c r="V3" s="5"/>
      <c r="W3" s="5"/>
      <c r="X3" s="5"/>
    </row>
    <row r="4" spans="1:24" x14ac:dyDescent="0.25">
      <c r="A4" s="11" t="str">
        <f ca="1">$A$2&amp;LEFT('cont list_bg'!G7,1)&amp;RIGHT('cont list_bg'!G7,1)</f>
        <v>SR3M6</v>
      </c>
      <c r="B4" s="9" t="str">
        <f ca="1">RTD("tt.rtd",,"Inst",$B$1,$A4)</f>
        <v>2518875037886751798</v>
      </c>
      <c r="C4" s="10" t="str">
        <f ca="1">RIGHT(RTD("tt.rtd",,$B4,C$2),2)</f>
        <v>M6</v>
      </c>
      <c r="D4" s="10" t="str">
        <f ca="1">RTD("tt.rtd",,$B4,D$2)</f>
        <v>96.3500</v>
      </c>
      <c r="E4" s="10" t="str">
        <f ca="1">RTD("tt.rtd",,$B4,E$2)</f>
        <v>96.3475</v>
      </c>
      <c r="F4" s="10" t="str">
        <f ca="1">RTD("tt.rtd",,$B4,F$2)</f>
        <v>96.3500</v>
      </c>
      <c r="G4" s="10">
        <f ca="1">RTD("tt.rtd",,$B4,G$2)</f>
        <v>4139</v>
      </c>
      <c r="H4" s="10" t="str">
        <f ca="1">RTD("tt.rtd",,$B4,H$2)</f>
        <v>96.3325</v>
      </c>
      <c r="I4" s="10" t="str">
        <f ca="1">RTD("tt.rtd",,$B4,I$2)</f>
        <v>Open</v>
      </c>
      <c r="J4" s="10">
        <f ca="1">RTD("tt.rtd",,$B4,J$2)</f>
        <v>4139</v>
      </c>
      <c r="K4" s="5">
        <f t="shared" ca="1" si="0"/>
        <v>96.348749999999995</v>
      </c>
      <c r="L4" s="5" t="str">
        <f t="shared" ca="1" si="1"/>
        <v>96.3500</v>
      </c>
      <c r="Q4" s="5"/>
      <c r="R4" s="5"/>
      <c r="S4" s="5"/>
      <c r="T4" s="5"/>
      <c r="U4" s="5"/>
      <c r="V4" s="5"/>
      <c r="W4" s="5"/>
      <c r="X4" s="5"/>
    </row>
    <row r="5" spans="1:24" x14ac:dyDescent="0.25">
      <c r="A5" s="11" t="str">
        <f ca="1">$A$2&amp;LEFT('cont list_bg'!G8,1)&amp;RIGHT('cont list_bg'!G8,1)</f>
        <v>SR3U6</v>
      </c>
      <c r="B5" s="9" t="str">
        <f ca="1">RTD("tt.rtd",,"Inst",$B$1,$A5)</f>
        <v>10056698436755136015</v>
      </c>
      <c r="C5" s="10" t="str">
        <f ca="1">RIGHT(RTD("tt.rtd",,$B5,C$2),2)</f>
        <v>U6</v>
      </c>
      <c r="D5" s="10" t="str">
        <f ca="1">RTD("tt.rtd",,$B5,D$2)</f>
        <v>96.290</v>
      </c>
      <c r="E5" s="10" t="str">
        <f ca="1">RTD("tt.rtd",,$B5,E$2)</f>
        <v>96.285</v>
      </c>
      <c r="F5" s="10" t="str">
        <f ca="1">RTD("tt.rtd",,$B5,F$2)</f>
        <v>96.285</v>
      </c>
      <c r="G5" s="10">
        <f ca="1">RTD("tt.rtd",,$B5,G$2)</f>
        <v>43</v>
      </c>
      <c r="H5" s="10" t="str">
        <f ca="1">RTD("tt.rtd",,$B5,H$2)</f>
        <v>96.220</v>
      </c>
      <c r="I5" s="10" t="str">
        <f ca="1">RTD("tt.rtd",,$B5,I$2)</f>
        <v>Open</v>
      </c>
      <c r="J5" s="10">
        <f ca="1">RTD("tt.rtd",,$B5,J$2)</f>
        <v>43</v>
      </c>
      <c r="K5" s="5">
        <f t="shared" ca="1" si="0"/>
        <v>96.287499999999994</v>
      </c>
      <c r="L5" s="5" t="str">
        <f t="shared" ca="1" si="1"/>
        <v>96.285</v>
      </c>
      <c r="Q5" s="5"/>
      <c r="R5" s="5"/>
      <c r="S5" s="5"/>
      <c r="T5" s="5"/>
      <c r="U5" s="5"/>
      <c r="V5" s="5"/>
      <c r="W5" s="5"/>
      <c r="X5" s="5"/>
    </row>
    <row r="6" spans="1:24" x14ac:dyDescent="0.25">
      <c r="A6" s="11" t="str">
        <f ca="1">$A$2&amp;LEFT('cont list_bg'!G9,1)&amp;RIGHT('cont list_bg'!G9,1)</f>
        <v>SR3Z6</v>
      </c>
      <c r="B6" s="9" t="str">
        <f ca="1">RTD("tt.rtd",,"Inst",$B$1,$A6)</f>
        <v>3761391845186607269</v>
      </c>
      <c r="C6" s="10" t="str">
        <f ca="1">RIGHT(RTD("tt.rtd",,$B6,C$2),2)</f>
        <v>Z6</v>
      </c>
      <c r="D6" s="10" t="str">
        <f ca="1">RTD("tt.rtd",,$B6,D$2)</f>
        <v>96.195</v>
      </c>
      <c r="E6" s="10" t="str">
        <f ca="1">RTD("tt.rtd",,$B6,E$2)</f>
        <v>96.190</v>
      </c>
      <c r="F6" s="10" t="str">
        <f ca="1">RTD("tt.rtd",,$B6,F$2)</f>
        <v>96.190</v>
      </c>
      <c r="G6" s="10">
        <f ca="1">RTD("tt.rtd",,$B6,G$2)</f>
        <v>200</v>
      </c>
      <c r="H6" s="10" t="str">
        <f ca="1">RTD("tt.rtd",,$B6,H$2)</f>
        <v>96.085</v>
      </c>
      <c r="I6" s="10" t="str">
        <f ca="1">RTD("tt.rtd",,$B6,I$2)</f>
        <v>Open</v>
      </c>
      <c r="J6" s="10">
        <f ca="1">RTD("tt.rtd",,$B6,J$2)</f>
        <v>200</v>
      </c>
      <c r="K6" s="5">
        <f t="shared" ca="1" si="0"/>
        <v>96.192499999999995</v>
      </c>
      <c r="L6" s="5" t="str">
        <f t="shared" ca="1" si="1"/>
        <v>96.190</v>
      </c>
      <c r="Q6" s="5"/>
      <c r="R6" s="5"/>
      <c r="S6" s="5"/>
      <c r="T6" s="5"/>
      <c r="U6" s="5"/>
      <c r="V6" s="5"/>
      <c r="W6" s="5"/>
      <c r="X6" s="5"/>
    </row>
    <row r="7" spans="1:24" x14ac:dyDescent="0.25">
      <c r="A7" s="11" t="str">
        <f ca="1">$A$2&amp;LEFT('cont list_bg'!G10,1)&amp;RIGHT('cont list_bg'!G10,1)</f>
        <v>SR3H7</v>
      </c>
      <c r="B7" s="9" t="str">
        <f ca="1">RTD("tt.rtd",,"Inst",$B$1,$A7)</f>
        <v>8786029629332899618</v>
      </c>
      <c r="C7" s="10" t="str">
        <f ca="1">RIGHT(RTD("tt.rtd",,$B7,C$2),2)</f>
        <v>H7</v>
      </c>
      <c r="D7" s="10" t="str">
        <f ca="1">RTD("tt.rtd",,$B7,D$2)</f>
        <v>96.110</v>
      </c>
      <c r="E7" s="10" t="str">
        <f ca="1">RTD("tt.rtd",,$B7,E$2)</f>
        <v>96.105</v>
      </c>
      <c r="F7" s="10" t="str">
        <f ca="1">RTD("tt.rtd",,$B7,F$2)</f>
        <v>96.105</v>
      </c>
      <c r="G7" s="10">
        <f ca="1">RTD("tt.rtd",,$B7,G$2)</f>
        <v>345</v>
      </c>
      <c r="H7" s="10" t="str">
        <f ca="1">RTD("tt.rtd",,$B7,H$2)</f>
        <v>95.970</v>
      </c>
      <c r="I7" s="10" t="str">
        <f ca="1">RTD("tt.rtd",,$B7,I$2)</f>
        <v>Open</v>
      </c>
      <c r="J7" s="10">
        <f ca="1">RTD("tt.rtd",,$B7,J$2)</f>
        <v>345</v>
      </c>
      <c r="K7" s="5">
        <f t="shared" ca="1" si="0"/>
        <v>96.107500000000002</v>
      </c>
      <c r="L7" s="5" t="str">
        <f t="shared" ca="1" si="1"/>
        <v>96.105</v>
      </c>
      <c r="Q7" s="5"/>
      <c r="R7" s="5"/>
      <c r="S7" s="5"/>
      <c r="T7" s="5"/>
      <c r="U7" s="5"/>
      <c r="V7" s="5"/>
      <c r="W7" s="5"/>
      <c r="X7" s="5"/>
    </row>
    <row r="8" spans="1:24" x14ac:dyDescent="0.25">
      <c r="A8" s="11" t="str">
        <f ca="1">$A$2&amp;LEFT('cont list_bg'!G11,1)&amp;RIGHT('cont list_bg'!G11,1)</f>
        <v>SR3M7</v>
      </c>
      <c r="B8" s="9" t="str">
        <f ca="1">RTD("tt.rtd",,"Inst",$B$1,$A8)</f>
        <v>6064266935547558467</v>
      </c>
      <c r="C8" s="10" t="str">
        <f ca="1">RIGHT(RTD("tt.rtd",,$B8,C$2),2)</f>
        <v>M7</v>
      </c>
      <c r="D8" s="10" t="str">
        <f ca="1">RTD("tt.rtd",,$B8,D$2)</f>
        <v>96.075</v>
      </c>
      <c r="E8" s="10" t="str">
        <f ca="1">RTD("tt.rtd",,$B8,E$2)</f>
        <v>96.070</v>
      </c>
      <c r="F8" s="10" t="str">
        <f ca="1">RTD("tt.rtd",,$B8,F$2)</f>
        <v>96.075</v>
      </c>
      <c r="G8" s="10">
        <f ca="1">RTD("tt.rtd",,$B8,G$2)</f>
        <v>15</v>
      </c>
      <c r="H8" s="10" t="str">
        <f ca="1">RTD("tt.rtd",,$B8,H$2)</f>
        <v>95.930</v>
      </c>
      <c r="I8" s="10" t="str">
        <f ca="1">RTD("tt.rtd",,$B8,I$2)</f>
        <v>Open</v>
      </c>
      <c r="J8" s="10">
        <f ca="1">RTD("tt.rtd",,$B8,J$2)</f>
        <v>15</v>
      </c>
      <c r="K8" s="5">
        <f t="shared" ca="1" si="0"/>
        <v>96.072499999999991</v>
      </c>
      <c r="L8" s="5" t="str">
        <f t="shared" ca="1" si="1"/>
        <v>96.075</v>
      </c>
      <c r="Q8" s="5"/>
      <c r="R8" s="5"/>
      <c r="S8" s="5"/>
      <c r="T8" s="5"/>
      <c r="U8" s="5"/>
      <c r="V8" s="5"/>
      <c r="W8" s="5"/>
      <c r="X8" s="5"/>
    </row>
    <row r="9" spans="1:24" x14ac:dyDescent="0.25">
      <c r="A9" s="11" t="str">
        <f ca="1">$A$2&amp;LEFT('cont list_bg'!G12,1)&amp;RIGHT('cont list_bg'!G12,1)</f>
        <v>SR3U7</v>
      </c>
      <c r="B9" s="9" t="str">
        <f ca="1">RTD("tt.rtd",,"Inst",$B$1,$A9)</f>
        <v>10582686653072545408</v>
      </c>
      <c r="C9" s="10" t="str">
        <f ca="1">RIGHT(RTD("tt.rtd",,$B9,C$2),2)</f>
        <v>U7</v>
      </c>
      <c r="D9" s="10" t="str">
        <f ca="1">RTD("tt.rtd",,$B9,D$2)</f>
        <v>96.085</v>
      </c>
      <c r="E9" s="10" t="str">
        <f ca="1">RTD("tt.rtd",,$B9,E$2)</f>
        <v>96.080</v>
      </c>
      <c r="F9" s="10" t="str">
        <f ca="1">RTD("tt.rtd",,$B9,F$2)</f>
        <v>96.080</v>
      </c>
      <c r="G9" s="10">
        <f ca="1">RTD("tt.rtd",,$B9,G$2)</f>
        <v>42</v>
      </c>
      <c r="H9" s="10" t="str">
        <f ca="1">RTD("tt.rtd",,$B9,H$2)</f>
        <v>95.945</v>
      </c>
      <c r="I9" s="10" t="str">
        <f ca="1">RTD("tt.rtd",,$B9,I$2)</f>
        <v>Open</v>
      </c>
      <c r="J9" s="10">
        <f ca="1">RTD("tt.rtd",,$B9,J$2)</f>
        <v>42</v>
      </c>
      <c r="K9" s="5">
        <f t="shared" ca="1" si="0"/>
        <v>96.082499999999996</v>
      </c>
      <c r="L9" s="5" t="str">
        <f t="shared" ca="1" si="1"/>
        <v>96.080</v>
      </c>
      <c r="Q9" s="5"/>
      <c r="R9" s="5"/>
      <c r="S9" s="5"/>
      <c r="T9" s="5"/>
      <c r="U9" s="5"/>
      <c r="V9" s="5"/>
      <c r="W9" s="5"/>
      <c r="X9" s="5"/>
    </row>
    <row r="10" spans="1:24" x14ac:dyDescent="0.25">
      <c r="A10" s="11" t="str">
        <f ca="1">$A$2&amp;LEFT('cont list_bg'!G13,1)&amp;RIGHT('cont list_bg'!G13,1)</f>
        <v>SR3Z7</v>
      </c>
      <c r="B10" s="9" t="str">
        <f ca="1">RTD("tt.rtd",,"Inst",$B$1,$A10)</f>
        <v>17925935412019565973</v>
      </c>
      <c r="C10" s="10" t="str">
        <f ca="1">RIGHT(RTD("tt.rtd",,$B10,C$2),2)</f>
        <v>Z7</v>
      </c>
      <c r="D10" s="10" t="str">
        <f ca="1">RTD("tt.rtd",,$B10,D$2)</f>
        <v>96.125</v>
      </c>
      <c r="E10" s="10" t="str">
        <f ca="1">RTD("tt.rtd",,$B10,E$2)</f>
        <v>96.120</v>
      </c>
      <c r="F10" s="10" t="str">
        <f ca="1">RTD("tt.rtd",,$B10,F$2)</f>
        <v>96.120</v>
      </c>
      <c r="G10" s="10">
        <f ca="1">RTD("tt.rtd",,$B10,G$2)</f>
        <v>486</v>
      </c>
      <c r="H10" s="10" t="str">
        <f ca="1">RTD("tt.rtd",,$B10,H$2)</f>
        <v>95.990</v>
      </c>
      <c r="I10" s="10" t="str">
        <f ca="1">RTD("tt.rtd",,$B10,I$2)</f>
        <v>Open</v>
      </c>
      <c r="J10" s="10">
        <f ca="1">RTD("tt.rtd",,$B10,J$2)</f>
        <v>486</v>
      </c>
      <c r="K10" s="5">
        <f t="shared" ca="1" si="0"/>
        <v>96.122500000000002</v>
      </c>
      <c r="L10" s="5" t="str">
        <f t="shared" ca="1" si="1"/>
        <v>96.120</v>
      </c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11" t="str">
        <f ca="1">$A$2&amp;LEFT('cont list_bg'!G14,1)&amp;RIGHT('cont list_bg'!G14,1)</f>
        <v>SR3H8</v>
      </c>
      <c r="B11" s="9" t="str">
        <f ca="1">RTD("tt.rtd",,"Inst",$B$1,$A11)</f>
        <v>3822227243959035490</v>
      </c>
      <c r="C11" s="10" t="str">
        <f ca="1">RIGHT(RTD("tt.rtd",,$B11,C$2),2)</f>
        <v>H8</v>
      </c>
      <c r="D11" s="10" t="str">
        <f ca="1">RTD("tt.rtd",,$B11,D$2)</f>
        <v>96.150</v>
      </c>
      <c r="E11" s="10" t="str">
        <f ca="1">RTD("tt.rtd",,$B11,E$2)</f>
        <v>96.145</v>
      </c>
      <c r="F11" s="10" t="str">
        <f ca="1">RTD("tt.rtd",,$B11,F$2)</f>
        <v>96.145</v>
      </c>
      <c r="G11" s="10">
        <f ca="1">RTD("tt.rtd",,$B11,G$2)</f>
        <v>478</v>
      </c>
      <c r="H11" s="10" t="str">
        <f ca="1">RTD("tt.rtd",,$B11,H$2)</f>
        <v>96.020</v>
      </c>
      <c r="I11" s="10" t="str">
        <f ca="1">RTD("tt.rtd",,$B11,I$2)</f>
        <v>Open</v>
      </c>
      <c r="J11" s="10">
        <f ca="1">RTD("tt.rtd",,$B11,J$2)</f>
        <v>478</v>
      </c>
      <c r="K11" s="5">
        <f t="shared" ca="1" si="0"/>
        <v>96.147500000000008</v>
      </c>
      <c r="L11" s="5" t="str">
        <f t="shared" ca="1" si="1"/>
        <v>96.145</v>
      </c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11" t="str">
        <f ca="1">$A$2&amp;LEFT('cont list_bg'!G15,1)&amp;RIGHT('cont list_bg'!G15,1)</f>
        <v>SR3M8</v>
      </c>
      <c r="B12" s="9" t="str">
        <f ca="1">RTD("tt.rtd",,"Inst",$B$1,$A12)</f>
        <v>12741923103719175711</v>
      </c>
      <c r="C12" s="10" t="str">
        <f ca="1">RIGHT(RTD("tt.rtd",,$B12,C$2),2)</f>
        <v>M8</v>
      </c>
      <c r="D12" s="10" t="str">
        <f ca="1">RTD("tt.rtd",,$B12,D$2)</f>
        <v>96.145</v>
      </c>
      <c r="E12" s="10" t="str">
        <f ca="1">RTD("tt.rtd",,$B12,E$2)</f>
        <v>96.140</v>
      </c>
      <c r="F12" s="10" t="str">
        <f ca="1">RTD("tt.rtd",,$B12,F$2)</f>
        <v>96.140</v>
      </c>
      <c r="G12" s="10">
        <f ca="1">RTD("tt.rtd",,$B12,G$2)</f>
        <v>143</v>
      </c>
      <c r="H12" s="10" t="str">
        <f ca="1">RTD("tt.rtd",,$B12,H$2)</f>
        <v>96.020</v>
      </c>
      <c r="I12" s="10" t="str">
        <f ca="1">RTD("tt.rtd",,$B12,I$2)</f>
        <v>Open</v>
      </c>
      <c r="J12" s="10">
        <f ca="1">RTD("tt.rtd",,$B12,J$2)</f>
        <v>143</v>
      </c>
      <c r="K12" s="5">
        <f t="shared" ca="1" si="0"/>
        <v>96.142499999999998</v>
      </c>
      <c r="L12" s="5" t="str">
        <f t="shared" ca="1" si="1"/>
        <v>96.140</v>
      </c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11" t="str">
        <f ca="1">$A$2&amp;LEFT('cont list_bg'!G16,1)&amp;RIGHT('cont list_bg'!G16,1)</f>
        <v>SR3U8</v>
      </c>
      <c r="B13" s="9" t="str">
        <f ca="1">RTD("tt.rtd",,"Inst",$B$1,$A13)</f>
        <v>16673841811510079166</v>
      </c>
      <c r="C13" s="10" t="str">
        <f ca="1">RIGHT(RTD("tt.rtd",,$B13,C$2),2)</f>
        <v>U8</v>
      </c>
      <c r="D13" s="10" t="str">
        <f ca="1">RTD("tt.rtd",,$B13,D$2)</f>
        <v>96.125</v>
      </c>
      <c r="E13" s="10" t="str">
        <f ca="1">RTD("tt.rtd",,$B13,E$2)</f>
        <v>96.120</v>
      </c>
      <c r="F13" s="10" t="str">
        <f ca="1">RTD("tt.rtd",,$B13,F$2)</f>
        <v>96.120</v>
      </c>
      <c r="G13" s="10">
        <f ca="1">RTD("tt.rtd",,$B13,G$2)</f>
        <v>219</v>
      </c>
      <c r="H13" s="10" t="str">
        <f ca="1">RTD("tt.rtd",,$B13,H$2)</f>
        <v>96.005</v>
      </c>
      <c r="I13" s="10" t="str">
        <f ca="1">RTD("tt.rtd",,$B13,I$2)</f>
        <v>Open</v>
      </c>
      <c r="J13" s="10">
        <f ca="1">RTD("tt.rtd",,$B13,J$2)</f>
        <v>219</v>
      </c>
      <c r="K13" s="5">
        <f t="shared" ca="1" si="0"/>
        <v>96.122500000000002</v>
      </c>
      <c r="L13" s="5" t="str">
        <f t="shared" ca="1" si="1"/>
        <v>96.120</v>
      </c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11" t="str">
        <f ca="1">$A$2&amp;LEFT('cont list_bg'!G17,1)&amp;RIGHT('cont list_bg'!G17,1)</f>
        <v>SR3Z8</v>
      </c>
      <c r="B14" s="9" t="str">
        <f ca="1">RTD("tt.rtd",,"Inst",$B$1,$A14)</f>
        <v>7359239446017790966</v>
      </c>
      <c r="C14" s="10" t="str">
        <f ca="1">RIGHT(RTD("tt.rtd",,$B14,C$2),2)</f>
        <v>Z8</v>
      </c>
      <c r="D14" s="10" t="str">
        <f ca="1">RTD("tt.rtd",,$B14,D$2)</f>
        <v>96.100</v>
      </c>
      <c r="E14" s="10" t="str">
        <f ca="1">RTD("tt.rtd",,$B14,E$2)</f>
        <v>96.095</v>
      </c>
      <c r="F14" s="10" t="str">
        <f ca="1">RTD("tt.rtd",,$B14,F$2)</f>
        <v>96.095</v>
      </c>
      <c r="G14" s="10">
        <f ca="1">RTD("tt.rtd",,$B14,G$2)</f>
        <v>5</v>
      </c>
      <c r="H14" s="10" t="str">
        <f ca="1">RTD("tt.rtd",,$B14,H$2)</f>
        <v>95.990</v>
      </c>
      <c r="I14" s="10" t="str">
        <f ca="1">RTD("tt.rtd",,$B14,I$2)</f>
        <v>Open</v>
      </c>
      <c r="J14" s="10">
        <f ca="1">RTD("tt.rtd",,$B14,J$2)</f>
        <v>5</v>
      </c>
      <c r="K14" s="5">
        <f t="shared" ca="1" si="0"/>
        <v>96.097499999999997</v>
      </c>
      <c r="L14" s="5" t="str">
        <f t="shared" ca="1" si="1"/>
        <v>96.095</v>
      </c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11" t="str">
        <f ca="1">$A$2&amp;LEFT('cont list_bg'!G18,1)&amp;RIGHT('cont list_bg'!G18,1)</f>
        <v>SR3H9</v>
      </c>
      <c r="B15" s="9" t="str">
        <f ca="1">RTD("tt.rtd",,"Inst",$B$1,$A15)</f>
        <v>4211986922965728750</v>
      </c>
      <c r="C15" s="10" t="str">
        <f ca="1">RIGHT(RTD("tt.rtd",,$B15,C$2),2)</f>
        <v>H9</v>
      </c>
      <c r="D15" s="10" t="str">
        <f ca="1">RTD("tt.rtd",,$B15,D$2)</f>
        <v>96.080</v>
      </c>
      <c r="E15" s="10" t="str">
        <f ca="1">RTD("tt.rtd",,$B15,E$2)</f>
        <v>96.075</v>
      </c>
      <c r="F15" s="10" t="str">
        <f ca="1">RTD("tt.rtd",,$B15,F$2)</f>
        <v>96.075</v>
      </c>
      <c r="G15" s="10">
        <f ca="1">RTD("tt.rtd",,$B15,G$2)</f>
        <v>98</v>
      </c>
      <c r="H15" s="10" t="str">
        <f ca="1">RTD("tt.rtd",,$B15,H$2)</f>
        <v>95.975</v>
      </c>
      <c r="I15" s="10" t="str">
        <f ca="1">RTD("tt.rtd",,$B15,I$2)</f>
        <v>Open</v>
      </c>
      <c r="J15" s="10">
        <f ca="1">RTD("tt.rtd",,$B15,J$2)</f>
        <v>98</v>
      </c>
      <c r="K15" s="5">
        <f t="shared" ca="1" si="0"/>
        <v>96.077500000000001</v>
      </c>
      <c r="L15" s="5" t="str">
        <f t="shared" ca="1" si="1"/>
        <v>96.075</v>
      </c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11" t="str">
        <f ca="1">$A$2&amp;LEFT('cont list_bg'!G19,1)&amp;RIGHT('cont list_bg'!G19,1)</f>
        <v>SR3M9</v>
      </c>
      <c r="B16" s="9" t="str">
        <f ca="1">RTD("tt.rtd",,"Inst",$B$1,$A16)</f>
        <v>11432813735419224277</v>
      </c>
      <c r="C16" s="10" t="str">
        <f ca="1">RIGHT(RTD("tt.rtd",,$B16,C$2),2)</f>
        <v>M9</v>
      </c>
      <c r="D16" s="10" t="str">
        <f ca="1">RTD("tt.rtd",,$B16,D$2)</f>
        <v>96.060</v>
      </c>
      <c r="E16" s="10" t="str">
        <f ca="1">RTD("tt.rtd",,$B16,E$2)</f>
        <v>96.055</v>
      </c>
      <c r="F16" s="10" t="str">
        <f ca="1">RTD("tt.rtd",,$B16,F$2)</f>
        <v>96.060</v>
      </c>
      <c r="G16" s="10">
        <f ca="1">RTD("tt.rtd",,$B16,G$2)</f>
        <v>4</v>
      </c>
      <c r="H16" s="10" t="str">
        <f ca="1">RTD("tt.rtd",,$B16,H$2)</f>
        <v>95.960</v>
      </c>
      <c r="I16" s="10" t="str">
        <f ca="1">RTD("tt.rtd",,$B16,I$2)</f>
        <v>Open</v>
      </c>
      <c r="J16" s="10">
        <f ca="1">RTD("tt.rtd",,$B16,J$2)</f>
        <v>4</v>
      </c>
      <c r="K16" s="5">
        <f t="shared" ca="1" si="0"/>
        <v>96.057500000000005</v>
      </c>
      <c r="L16" s="5" t="str">
        <f t="shared" ca="1" si="1"/>
        <v>96.060</v>
      </c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11" t="str">
        <f ca="1">$A$2&amp;LEFT('cont list_bg'!G20,1)&amp;RIGHT('cont list_bg'!G20,1)</f>
        <v>SR3U9</v>
      </c>
      <c r="B17" s="9" t="str">
        <f ca="1">RTD("tt.rtd",,"Inst",$B$1,$A17)</f>
        <v>9909662404632894188</v>
      </c>
      <c r="C17" s="10" t="str">
        <f ca="1">RIGHT(RTD("tt.rtd",,$B17,C$2),2)</f>
        <v>U9</v>
      </c>
      <c r="D17" s="10" t="str">
        <f ca="1">RTD("tt.rtd",,$B17,D$2)</f>
        <v>96.040</v>
      </c>
      <c r="E17" s="10" t="str">
        <f ca="1">RTD("tt.rtd",,$B17,E$2)</f>
        <v>96.035</v>
      </c>
      <c r="F17" s="10" t="str">
        <f ca="1">RTD("tt.rtd",,$B17,F$2)</f>
        <v>96.035</v>
      </c>
      <c r="G17" s="10">
        <f ca="1">RTD("tt.rtd",,$B17,G$2)</f>
        <v>42</v>
      </c>
      <c r="H17" s="10" t="str">
        <f ca="1">RTD("tt.rtd",,$B17,H$2)</f>
        <v>95.940</v>
      </c>
      <c r="I17" s="10" t="str">
        <f ca="1">RTD("tt.rtd",,$B17,I$2)</f>
        <v>Open</v>
      </c>
      <c r="J17" s="10">
        <f ca="1">RTD("tt.rtd",,$B17,J$2)</f>
        <v>42</v>
      </c>
      <c r="K17" s="5">
        <f t="shared" ca="1" si="0"/>
        <v>96.037499999999994</v>
      </c>
      <c r="L17" s="5" t="str">
        <f t="shared" ca="1" si="1"/>
        <v>96.035</v>
      </c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11" t="str">
        <f ca="1">$A$2&amp;LEFT('cont list_bg'!G21,1)&amp;RIGHT('cont list_bg'!G21,1)</f>
        <v>SR3Z9</v>
      </c>
      <c r="B18" s="9" t="str">
        <f ca="1">RTD("tt.rtd",,"Inst",$B$1,$A18)</f>
        <v>12350987571259131621</v>
      </c>
      <c r="C18" s="10" t="str">
        <f ca="1">RIGHT(RTD("tt.rtd",,$B18,C$2),2)</f>
        <v>Z9</v>
      </c>
      <c r="D18" s="10" t="str">
        <f ca="1">RTD("tt.rtd",,$B18,D$2)</f>
        <v>96.015</v>
      </c>
      <c r="E18" s="10" t="str">
        <f ca="1">RTD("tt.rtd",,$B18,E$2)</f>
        <v>96.010</v>
      </c>
      <c r="F18" s="10" t="str">
        <f ca="1">RTD("tt.rtd",,$B18,F$2)</f>
        <v>96.010</v>
      </c>
      <c r="G18" s="10">
        <f ca="1">RTD("tt.rtd",,$B18,G$2)</f>
        <v>36</v>
      </c>
      <c r="H18" s="10" t="str">
        <f ca="1">RTD("tt.rtd",,$B18,H$2)</f>
        <v>95.915</v>
      </c>
      <c r="I18" s="10" t="str">
        <f ca="1">RTD("tt.rtd",,$B18,I$2)</f>
        <v>Open</v>
      </c>
      <c r="J18" s="10">
        <f ca="1">RTD("tt.rtd",,$B18,J$2)</f>
        <v>36</v>
      </c>
      <c r="K18" s="5">
        <f t="shared" ca="1" si="0"/>
        <v>96.012500000000003</v>
      </c>
      <c r="L18" s="5" t="str">
        <f t="shared" ca="1" si="1"/>
        <v>96.010</v>
      </c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11" t="str">
        <f ca="1">$A$2&amp;LEFT('cont list_bg'!G22,1)&amp;RIGHT('cont list_bg'!G22,1)</f>
        <v>SR3H0</v>
      </c>
      <c r="B19" s="9" t="str">
        <f ca="1">RTD("tt.rtd",,"Inst",$B$1,$A19)</f>
        <v>11906745505255579027</v>
      </c>
      <c r="C19" s="10" t="str">
        <f ca="1">RIGHT(RTD("tt.rtd",,$B19,C$2),2)</f>
        <v>H0</v>
      </c>
      <c r="D19" s="10" t="str">
        <f ca="1">RTD("tt.rtd",,$B19,D$2)</f>
        <v>95.985</v>
      </c>
      <c r="E19" s="10" t="str">
        <f ca="1">RTD("tt.rtd",,$B19,E$2)</f>
        <v>95.980</v>
      </c>
      <c r="F19" s="10" t="str">
        <f ca="1">RTD("tt.rtd",,$B19,F$2)</f>
        <v>95.980</v>
      </c>
      <c r="G19" s="10">
        <f ca="1">RTD("tt.rtd",,$B19,G$2)</f>
        <v>2</v>
      </c>
      <c r="H19" s="10" t="str">
        <f ca="1">RTD("tt.rtd",,$B19,H$2)</f>
        <v>95.890</v>
      </c>
      <c r="I19" s="10" t="str">
        <f ca="1">RTD("tt.rtd",,$B19,I$2)</f>
        <v>Open</v>
      </c>
      <c r="J19" s="10">
        <f ca="1">RTD("tt.rtd",,$B19,J$2)</f>
        <v>2</v>
      </c>
      <c r="K19" s="5">
        <f t="shared" ca="1" si="0"/>
        <v>95.982500000000002</v>
      </c>
      <c r="L19" s="5" t="str">
        <f t="shared" ca="1" si="1"/>
        <v>95.980</v>
      </c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11" t="str">
        <f ca="1">$A$2&amp;LEFT('cont list_bg'!G23,1)&amp;RIGHT('cont list_bg'!G23,1)</f>
        <v>SR3M0</v>
      </c>
      <c r="B20" s="9" t="str">
        <f ca="1">RTD("tt.rtd",,"Inst",$B$1,$A20)</f>
        <v>8236602463566917986</v>
      </c>
      <c r="C20" s="10" t="str">
        <f ca="1">RIGHT(RTD("tt.rtd",,$B20,C$2),2)</f>
        <v>M0</v>
      </c>
      <c r="D20" s="10" t="str">
        <f ca="1">RTD("tt.rtd",,$B20,D$2)</f>
        <v>95.955</v>
      </c>
      <c r="E20" s="10" t="str">
        <f ca="1">RTD("tt.rtd",,$B20,E$2)</f>
        <v>95.950</v>
      </c>
      <c r="F20" s="10" t="str">
        <f ca="1">RTD("tt.rtd",,$B20,F$2)</f>
        <v>95.955</v>
      </c>
      <c r="G20" s="10">
        <f ca="1">RTD("tt.rtd",,$B20,G$2)</f>
        <v>102</v>
      </c>
      <c r="H20" s="10" t="str">
        <f ca="1">RTD("tt.rtd",,$B20,H$2)</f>
        <v>95.860</v>
      </c>
      <c r="I20" s="10" t="str">
        <f ca="1">RTD("tt.rtd",,$B20,I$2)</f>
        <v>Open</v>
      </c>
      <c r="J20" s="10">
        <f ca="1">RTD("tt.rtd",,$B20,J$2)</f>
        <v>102</v>
      </c>
      <c r="K20" s="5">
        <f t="shared" ca="1" si="0"/>
        <v>95.952500000000001</v>
      </c>
      <c r="L20" s="5" t="str">
        <f t="shared" ca="1" si="1"/>
        <v>95.955</v>
      </c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11" t="str">
        <f ca="1">$A$2&amp;LEFT('cont list_bg'!G24,1)&amp;RIGHT('cont list_bg'!G24,1)</f>
        <v>SR3U0</v>
      </c>
      <c r="B21" s="9" t="str">
        <f ca="1">RTD("tt.rtd",,"Inst",$B$1,$A21)</f>
        <v>13762141828290349231</v>
      </c>
      <c r="C21" s="10" t="str">
        <f ca="1">RIGHT(RTD("tt.rtd",,$B21,C$2),2)</f>
        <v>U0</v>
      </c>
      <c r="D21" s="10" t="str">
        <f ca="1">RTD("tt.rtd",,$B21,D$2)</f>
        <v>95.920</v>
      </c>
      <c r="E21" s="10" t="str">
        <f ca="1">RTD("tt.rtd",,$B21,E$2)</f>
        <v>95.915</v>
      </c>
      <c r="F21" s="10" t="str">
        <f ca="1">RTD("tt.rtd",,$B21,F$2)</f>
        <v>95.915</v>
      </c>
      <c r="G21" s="10">
        <f ca="1">RTD("tt.rtd",,$B21,G$2)</f>
        <v>1</v>
      </c>
      <c r="H21" s="10" t="str">
        <f ca="1">RTD("tt.rtd",,$B21,H$2)</f>
        <v>95.825</v>
      </c>
      <c r="I21" s="10" t="str">
        <f ca="1">RTD("tt.rtd",,$B21,I$2)</f>
        <v>Open</v>
      </c>
      <c r="J21" s="10">
        <f ca="1">RTD("tt.rtd",,$B21,J$2)</f>
        <v>1</v>
      </c>
      <c r="K21" s="5">
        <f t="shared" ca="1" si="0"/>
        <v>95.917500000000004</v>
      </c>
      <c r="L21" s="5" t="str">
        <f t="shared" ca="1" si="1"/>
        <v>95.915</v>
      </c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11" t="str">
        <f ca="1">$A$2&amp;LEFT('cont list_bg'!G25,1)&amp;RIGHT('cont list_bg'!G25,1)</f>
        <v>SR3Z0</v>
      </c>
      <c r="B22" s="9" t="str">
        <f ca="1">RTD("tt.rtd",,"Inst",$B$1,$A22)</f>
        <v>5899392161601857848</v>
      </c>
      <c r="C22" s="10" t="str">
        <f ca="1">RIGHT(RTD("tt.rtd",,$B22,C$2),2)</f>
        <v>Z0</v>
      </c>
      <c r="D22" s="10" t="str">
        <f ca="1">RTD("tt.rtd",,$B22,D$2)</f>
        <v>95.885</v>
      </c>
      <c r="E22" s="10" t="str">
        <f ca="1">RTD("tt.rtd",,$B22,E$2)</f>
        <v>95.880</v>
      </c>
      <c r="F22" s="10" t="str">
        <f ca="1">RTD("tt.rtd",,$B22,F$2)</f>
        <v>95.880</v>
      </c>
      <c r="G22" s="10">
        <f ca="1">RTD("tt.rtd",,$B22,G$2)</f>
        <v>100</v>
      </c>
      <c r="H22" s="10" t="str">
        <f ca="1">RTD("tt.rtd",,$B22,H$2)</f>
        <v>95.790</v>
      </c>
      <c r="I22" s="10" t="str">
        <f ca="1">RTD("tt.rtd",,$B22,I$2)</f>
        <v>Open</v>
      </c>
      <c r="J22" s="10">
        <f ca="1">RTD("tt.rtd",,$B22,J$2)</f>
        <v>100</v>
      </c>
      <c r="K22" s="5">
        <f t="shared" ca="1" si="0"/>
        <v>95.882499999999993</v>
      </c>
      <c r="L22" s="5" t="str">
        <f t="shared" ca="1" si="1"/>
        <v>95.880</v>
      </c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11" t="str">
        <f ca="1">$A$2&amp;LEFT('cont list_bg'!G26,1)&amp;RIGHT('cont list_bg'!G26,1)</f>
        <v>SR3H1</v>
      </c>
      <c r="B23" s="9" t="str">
        <f ca="1">RTD("tt.rtd",,"Inst",$B$1,$A23)</f>
        <v>1445113220851198574</v>
      </c>
      <c r="C23" s="10" t="str">
        <f ca="1">RIGHT(RTD("tt.rtd",,$B23,C$2),2)</f>
        <v>H1</v>
      </c>
      <c r="D23" s="10" t="str">
        <f ca="1">RTD("tt.rtd",,$B23,D$2)</f>
        <v>95.845</v>
      </c>
      <c r="E23" s="10" t="str">
        <f ca="1">RTD("tt.rtd",,$B23,E$2)</f>
        <v>95.840</v>
      </c>
      <c r="F23" s="10" t="str">
        <f ca="1">RTD("tt.rtd",,$B23,F$2)</f>
        <v>95.840</v>
      </c>
      <c r="G23" s="10">
        <f ca="1">RTD("tt.rtd",,$B23,G$2)</f>
        <v>96</v>
      </c>
      <c r="H23" s="10" t="str">
        <f ca="1">RTD("tt.rtd",,$B23,H$2)</f>
        <v>95.750</v>
      </c>
      <c r="I23" s="10" t="str">
        <f ca="1">RTD("tt.rtd",,$B23,I$2)</f>
        <v>Open</v>
      </c>
      <c r="J23" s="10">
        <f ca="1">RTD("tt.rtd",,$B23,J$2)</f>
        <v>96</v>
      </c>
      <c r="K23" s="5">
        <f t="shared" ca="1" si="0"/>
        <v>95.842500000000001</v>
      </c>
      <c r="L23" s="5" t="str">
        <f t="shared" ca="1" si="1"/>
        <v>95.840</v>
      </c>
      <c r="Q23" s="5"/>
      <c r="R23" s="5"/>
      <c r="S23" s="5"/>
      <c r="T23" s="5"/>
      <c r="U23" s="5"/>
      <c r="V23" s="5"/>
      <c r="W23" s="5"/>
      <c r="X23" s="5"/>
    </row>
    <row r="24" spans="1:24" x14ac:dyDescent="0.25">
      <c r="A24" s="11" t="str">
        <f ca="1">$A$2&amp;LEFT('cont list_bg'!G27,1)&amp;RIGHT('cont list_bg'!G27,1)</f>
        <v>SR3M1</v>
      </c>
      <c r="B24" s="9" t="str">
        <f ca="1">RTD("tt.rtd",,"Inst",$B$1,$A24)</f>
        <v>9218462374027862637</v>
      </c>
      <c r="C24" s="10" t="str">
        <f ca="1">RIGHT(RTD("tt.rtd",,$B24,C$2),2)</f>
        <v>M1</v>
      </c>
      <c r="D24" s="10" t="str">
        <f ca="1">RTD("tt.rtd",,$B24,D$2)</f>
        <v>95.805</v>
      </c>
      <c r="E24" s="10" t="str">
        <f ca="1">RTD("tt.rtd",,$B24,E$2)</f>
        <v>95.795</v>
      </c>
      <c r="F24" s="10" t="str">
        <f ca="1">RTD("tt.rtd",,$B24,F$2)</f>
        <v>95.780</v>
      </c>
      <c r="G24" s="10">
        <f ca="1">RTD("tt.rtd",,$B24,G$2)</f>
        <v>1</v>
      </c>
      <c r="H24" s="10" t="str">
        <f ca="1">RTD("tt.rtd",,$B24,H$2)</f>
        <v>95.710</v>
      </c>
      <c r="I24" s="10" t="str">
        <f ca="1">RTD("tt.rtd",,$B24,I$2)</f>
        <v>Open</v>
      </c>
      <c r="J24" s="10">
        <f ca="1">RTD("tt.rtd",,$B24,J$2)</f>
        <v>1</v>
      </c>
      <c r="K24" s="5">
        <f t="shared" ca="1" si="0"/>
        <v>95.800000000000011</v>
      </c>
      <c r="L24" s="5" t="str">
        <f t="shared" ca="1" si="1"/>
        <v>95.780</v>
      </c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11" t="str">
        <f ca="1">$A$2&amp;LEFT('cont list_bg'!G28,1)&amp;RIGHT('cont list_bg'!G28,1)</f>
        <v>SR3U1</v>
      </c>
      <c r="B25" s="9" t="str">
        <f ca="1">RTD("tt.rtd",,"Inst",$B$1,$A25)</f>
        <v>8069871726958016254</v>
      </c>
      <c r="C25" s="10" t="str">
        <f ca="1">RIGHT(RTD("tt.rtd",,$B25,C$2),2)</f>
        <v>U1</v>
      </c>
      <c r="D25" s="10" t="str">
        <f ca="1">RTD("tt.rtd",,$B25,D$2)</f>
        <v>95.765</v>
      </c>
      <c r="E25" s="10" t="str">
        <f ca="1">RTD("tt.rtd",,$B25,E$2)</f>
        <v>95.750</v>
      </c>
      <c r="F25" s="10" t="str">
        <f ca="1">RTD("tt.rtd",,$B25,F$2)</f>
        <v>95.680</v>
      </c>
      <c r="G25" s="10">
        <f ca="1">RTD("tt.rtd",,$B25,G$2)</f>
        <v>35</v>
      </c>
      <c r="H25" s="10" t="str">
        <f ca="1">RTD("tt.rtd",,$B25,H$2)</f>
        <v>95.665</v>
      </c>
      <c r="I25" s="10" t="str">
        <f ca="1">RTD("tt.rtd",,$B25,I$2)</f>
        <v>Open</v>
      </c>
      <c r="J25" s="10">
        <f ca="1">RTD("tt.rtd",,$B25,J$2)</f>
        <v>35</v>
      </c>
      <c r="K25" s="5">
        <f t="shared" ca="1" si="0"/>
        <v>95.757499999999993</v>
      </c>
      <c r="L25" s="5" t="str">
        <f t="shared" ca="1" si="1"/>
        <v>95.680</v>
      </c>
      <c r="Q25" s="5"/>
      <c r="R25" s="5"/>
      <c r="S25" s="5"/>
      <c r="T25" s="5"/>
      <c r="U25" s="5"/>
      <c r="V25" s="5"/>
      <c r="W25" s="5"/>
      <c r="X25" s="5"/>
    </row>
    <row r="26" spans="1:24" x14ac:dyDescent="0.25">
      <c r="A26" s="11" t="str">
        <f ca="1">$A$2&amp;LEFT('cont list_bg'!G29,1)&amp;RIGHT('cont list_bg'!G29,1)</f>
        <v>SR3Z1</v>
      </c>
      <c r="B26" s="9" t="str">
        <f ca="1">RTD("tt.rtd",,"Inst",$B$1,$A26)</f>
        <v>2798056836424267605</v>
      </c>
      <c r="C26" s="10" t="str">
        <f ca="1">RIGHT(RTD("tt.rtd",,$B26,C$2),2)</f>
        <v>Z1</v>
      </c>
      <c r="D26" s="10" t="str">
        <f ca="1">RTD("tt.rtd",,$B26,D$2)</f>
        <v>95.725</v>
      </c>
      <c r="E26" s="10" t="str">
        <f ca="1">RTD("tt.rtd",,$B26,E$2)</f>
        <v>95.710</v>
      </c>
      <c r="F26" s="10" t="str">
        <f ca="1">RTD("tt.rtd",,$B26,F$2)</f>
        <v/>
      </c>
      <c r="G26" s="10" t="str">
        <f ca="1">RTD("tt.rtd",,$B26,G$2)</f>
        <v/>
      </c>
      <c r="H26" s="10" t="str">
        <f ca="1">RTD("tt.rtd",,$B26,H$2)</f>
        <v>95.620</v>
      </c>
      <c r="I26" s="10" t="str">
        <f ca="1">RTD("tt.rtd",,$B26,I$2)</f>
        <v>Open</v>
      </c>
      <c r="J26" s="10" t="str">
        <f ca="1">RTD("tt.rtd",,$B26,J$2)</f>
        <v/>
      </c>
      <c r="K26" s="5">
        <f t="shared" ca="1" si="0"/>
        <v>95.717500000000001</v>
      </c>
      <c r="L26" s="5" t="str">
        <f t="shared" ca="1" si="1"/>
        <v/>
      </c>
      <c r="Q26" s="5"/>
      <c r="R26" s="5"/>
      <c r="S26" s="5"/>
      <c r="T26" s="5"/>
      <c r="U26" s="5"/>
      <c r="V26" s="5"/>
      <c r="W26" s="5"/>
      <c r="X26" s="5"/>
    </row>
    <row r="27" spans="1:24" x14ac:dyDescent="0.25">
      <c r="A27" s="11" t="str">
        <f ca="1">$A$2&amp;LEFT('cont list_bg'!G30,1)&amp;RIGHT('cont list_bg'!G30,1)</f>
        <v>SR3H2</v>
      </c>
      <c r="B27" s="9" t="str">
        <f ca="1">RTD("tt.rtd",,"Inst",$B$1,$A27)</f>
        <v>11954488268734512343</v>
      </c>
      <c r="C27" s="10" t="str">
        <f ca="1">RIGHT(RTD("tt.rtd",,$B27,C$2),2)</f>
        <v>H2</v>
      </c>
      <c r="D27" s="10" t="str">
        <f ca="1">RTD("tt.rtd",,$B27,D$2)</f>
        <v>95.695</v>
      </c>
      <c r="E27" s="10" t="str">
        <f ca="1">RTD("tt.rtd",,$B27,E$2)</f>
        <v>95.655</v>
      </c>
      <c r="F27" s="10" t="str">
        <f ca="1">RTD("tt.rtd",,$B27,F$2)</f>
        <v>95.625</v>
      </c>
      <c r="G27" s="10">
        <f ca="1">RTD("tt.rtd",,$B27,G$2)</f>
        <v>4</v>
      </c>
      <c r="H27" s="10" t="str">
        <f ca="1">RTD("tt.rtd",,$B27,H$2)</f>
        <v>95.580</v>
      </c>
      <c r="I27" s="10" t="str">
        <f ca="1">RTD("tt.rtd",,$B27,I$2)</f>
        <v>Open</v>
      </c>
      <c r="J27" s="10">
        <f ca="1">RTD("tt.rtd",,$B27,J$2)</f>
        <v>4</v>
      </c>
      <c r="K27" s="5">
        <f t="shared" ca="1" si="0"/>
        <v>95.674999999999997</v>
      </c>
      <c r="L27" s="5" t="str">
        <f t="shared" ca="1" si="1"/>
        <v>95.625</v>
      </c>
      <c r="Q27" s="5"/>
      <c r="R27" s="5"/>
      <c r="S27" s="5"/>
      <c r="T27" s="5"/>
      <c r="U27" s="5"/>
      <c r="V27" s="5"/>
      <c r="W27" s="5"/>
      <c r="X27" s="5"/>
    </row>
    <row r="28" spans="1:24" x14ac:dyDescent="0.25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5"/>
      <c r="L28" s="5"/>
    </row>
    <row r="29" spans="1:24" x14ac:dyDescent="0.25">
      <c r="A29" s="11"/>
      <c r="B29" s="9"/>
      <c r="C29" s="9"/>
      <c r="D29" s="10"/>
      <c r="E29" s="10"/>
      <c r="F29" s="10"/>
      <c r="G29" s="10"/>
      <c r="H29" s="10"/>
      <c r="I29" s="10"/>
      <c r="J29" s="10"/>
      <c r="K29" s="5"/>
      <c r="L29" s="5"/>
    </row>
    <row r="30" spans="1:24" x14ac:dyDescent="0.25">
      <c r="A30" s="11"/>
      <c r="B30" s="9"/>
      <c r="C30" s="9"/>
      <c r="D30" s="10"/>
      <c r="E30" s="10"/>
      <c r="F30" s="10"/>
      <c r="G30" s="10"/>
      <c r="H30" s="10"/>
      <c r="I30" s="10"/>
      <c r="J30" s="10"/>
      <c r="K30" s="5"/>
      <c r="L30" s="5"/>
    </row>
    <row r="31" spans="1:24" x14ac:dyDescent="0.25">
      <c r="A31" s="11"/>
      <c r="B31" s="9"/>
      <c r="C31" s="9"/>
      <c r="D31" s="10"/>
      <c r="E31" s="10"/>
      <c r="F31" s="10"/>
      <c r="G31" s="10"/>
      <c r="H31" s="10"/>
      <c r="I31" s="10"/>
      <c r="J31" s="10"/>
      <c r="K31" s="5"/>
      <c r="L31" s="5"/>
    </row>
    <row r="32" spans="1:24" x14ac:dyDescent="0.25">
      <c r="A32" s="11"/>
      <c r="B32" s="9"/>
      <c r="C32" s="9"/>
      <c r="D32" s="10"/>
      <c r="E32" s="10"/>
      <c r="F32" s="10"/>
      <c r="G32" s="10"/>
      <c r="H32" s="10"/>
      <c r="I32" s="10"/>
      <c r="J32" s="10"/>
      <c r="K32" s="5"/>
      <c r="L32" s="5"/>
    </row>
    <row r="33" spans="1:12" x14ac:dyDescent="0.25">
      <c r="A33" s="11"/>
      <c r="B33" s="9"/>
      <c r="C33" s="9"/>
      <c r="D33" s="10"/>
      <c r="E33" s="10"/>
      <c r="F33" s="10"/>
      <c r="G33" s="10"/>
      <c r="H33" s="10"/>
      <c r="I33" s="10"/>
      <c r="J33" s="10"/>
      <c r="K33" s="5"/>
      <c r="L33" s="5"/>
    </row>
    <row r="34" spans="1:12" x14ac:dyDescent="0.25">
      <c r="A34" s="11"/>
      <c r="B34" s="9"/>
      <c r="C34" s="9"/>
      <c r="D34" s="10"/>
      <c r="E34" s="10"/>
      <c r="F34" s="10"/>
      <c r="G34" s="10"/>
      <c r="H34" s="10"/>
      <c r="I34" s="10"/>
      <c r="J34" s="10"/>
      <c r="K34" s="5"/>
      <c r="L34" s="5"/>
    </row>
    <row r="35" spans="1:12" x14ac:dyDescent="0.25">
      <c r="A35" s="11"/>
      <c r="B35" s="9"/>
      <c r="C35" s="9"/>
      <c r="D35" s="10"/>
      <c r="E35" s="10"/>
      <c r="F35" s="10"/>
      <c r="G35" s="10"/>
      <c r="H35" s="10"/>
      <c r="I35" s="10"/>
      <c r="J35" s="10"/>
      <c r="K35" s="5"/>
      <c r="L35" s="5"/>
    </row>
    <row r="36" spans="1:12" x14ac:dyDescent="0.25">
      <c r="A36" s="11"/>
    </row>
    <row r="37" spans="1:12" x14ac:dyDescent="0.25">
      <c r="A37" s="11"/>
    </row>
    <row r="38" spans="1:12" x14ac:dyDescent="0.25">
      <c r="A38" s="11"/>
    </row>
    <row r="39" spans="1:12" x14ac:dyDescent="0.25">
      <c r="A39" s="11"/>
    </row>
    <row r="40" spans="1:12" x14ac:dyDescent="0.25">
      <c r="A40" s="11"/>
    </row>
    <row r="41" spans="1:12" x14ac:dyDescent="0.25">
      <c r="A41" s="11"/>
    </row>
    <row r="42" spans="1:12" x14ac:dyDescent="0.25">
      <c r="A42" s="11"/>
    </row>
    <row r="43" spans="1:12" x14ac:dyDescent="0.25">
      <c r="A43" s="11"/>
    </row>
    <row r="44" spans="1:12" x14ac:dyDescent="0.25">
      <c r="A4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AA0A-3D7F-409D-BC0A-30F21F03F09D}">
  <dimension ref="A1:L28"/>
  <sheetViews>
    <sheetView workbookViewId="0">
      <selection activeCell="H3" sqref="H3"/>
    </sheetView>
  </sheetViews>
  <sheetFormatPr defaultRowHeight="15" x14ac:dyDescent="0.25"/>
  <sheetData>
    <row r="1" spans="1:12" x14ac:dyDescent="0.25">
      <c r="A1" s="22" t="s">
        <v>82</v>
      </c>
      <c r="B1" s="23" t="s">
        <v>92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93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A3" s="11" t="str">
        <f ca="1">$A$2&amp;"   FM"&amp;LEFT('cont list_bg'!C6,1)&amp;"00"&amp;RIGHT('cont list_bg'!C6,2)&amp;"!"</f>
        <v>I   FMH0026!</v>
      </c>
      <c r="B3" s="9"/>
      <c r="C3" s="10"/>
      <c r="D3" s="10"/>
      <c r="E3" s="10"/>
      <c r="F3" s="10"/>
      <c r="G3" s="10"/>
      <c r="H3" s="10"/>
      <c r="I3" s="10"/>
      <c r="J3" s="10"/>
      <c r="K3" s="5"/>
      <c r="L3" s="5"/>
    </row>
    <row r="4" spans="1:12" x14ac:dyDescent="0.25">
      <c r="A4" s="11" t="str">
        <f ca="1">$A$2&amp;"   FM"&amp;LEFT('cont list_bg'!C7,1)&amp;"00"&amp;RIGHT('cont list_bg'!C7,2)&amp;"!"</f>
        <v>I   FMM0026!</v>
      </c>
      <c r="B4" s="9" t="str">
        <f ca="1">RTD("tt.rtd",,"Inst",$B$1,$A4)</f>
        <v>5444827104880269937</v>
      </c>
      <c r="C4" s="10" t="str">
        <f ca="1">MID(RTD("tt.rtd",,$B4,C$2),7,1)&amp;MID(RTD("tt.rtd",,$B4,C$2),11,1)</f>
        <v>M6</v>
      </c>
      <c r="D4" s="10" t="str">
        <f ca="1">RTD("tt.rtd",,$B4,D$2)</f>
        <v>"services.rtd.subscriptionError"</v>
      </c>
      <c r="E4" s="10" t="str">
        <f ca="1">RTD("tt.rtd",,$B4,E$2)</f>
        <v>"services.rtd.subscriptionError"</v>
      </c>
      <c r="F4" s="10" t="str">
        <f ca="1">RTD("tt.rtd",,$B4,F$2)</f>
        <v>"services.rtd.subscriptionError"</v>
      </c>
      <c r="G4" s="10" t="str">
        <f ca="1">RTD("tt.rtd",,$B4,G$2)</f>
        <v>"services.rtd.subscriptionError"</v>
      </c>
      <c r="H4" s="10" t="str">
        <f ca="1">RTD("tt.rtd",,$B4,H$2)</f>
        <v>"services.rtd.subscriptionError"</v>
      </c>
      <c r="I4" s="10" t="str">
        <f ca="1">RTD("tt.rtd",,$B4,I$2)</f>
        <v>"services.rtd.subscriptionError"</v>
      </c>
      <c r="J4" s="10" t="str">
        <f ca="1">RTD("tt.rtd",,$B4,J$2)</f>
        <v>"services.rtd.subscriptionError"</v>
      </c>
      <c r="K4" s="5" t="str">
        <f t="shared" ref="K4:K26" ca="1" si="0">IFERROR(IF(I4="Open",(E4+D4)/2,H4),H4)</f>
        <v>"services.rtd.subscriptionError"</v>
      </c>
      <c r="L4" s="5" t="str">
        <f t="shared" ref="L4:L26" ca="1" si="1">IF(AND(I4="Open",G4&gt;0),F4,K4)</f>
        <v>"services.rtd.subscriptionError"</v>
      </c>
    </row>
    <row r="5" spans="1:12" x14ac:dyDescent="0.25">
      <c r="A5" s="11" t="str">
        <f ca="1">$A$2&amp;"   FM"&amp;LEFT('cont list_bg'!C8,1)&amp;"00"&amp;RIGHT('cont list_bg'!C8,2)&amp;"!"</f>
        <v>I   FMU0026!</v>
      </c>
      <c r="B5" s="9" t="str">
        <f ca="1">RTD("tt.rtd",,"Inst",$B$1,$A5)</f>
        <v>6628990053936569924</v>
      </c>
      <c r="C5" s="10" t="str">
        <f ca="1">MID(RTD("tt.rtd",,$B5,C$2),7,1)&amp;MID(RTD("tt.rtd",,$B5,C$2),11,1)</f>
        <v>U6</v>
      </c>
      <c r="D5" s="10" t="str">
        <f ca="1">RTD("tt.rtd",,$B5,D$2)</f>
        <v>"services.rtd.subscriptionError"</v>
      </c>
      <c r="E5" s="10" t="str">
        <f ca="1">RTD("tt.rtd",,$B5,E$2)</f>
        <v>"services.rtd.subscriptionError"</v>
      </c>
      <c r="F5" s="10" t="str">
        <f ca="1">RTD("tt.rtd",,$B5,F$2)</f>
        <v>"services.rtd.subscriptionError"</v>
      </c>
      <c r="G5" s="10" t="str">
        <f ca="1">RTD("tt.rtd",,$B5,G$2)</f>
        <v>"services.rtd.subscriptionError"</v>
      </c>
      <c r="H5" s="10" t="str">
        <f ca="1">RTD("tt.rtd",,$B5,H$2)</f>
        <v>"services.rtd.subscriptionError"</v>
      </c>
      <c r="I5" s="10" t="str">
        <f ca="1">RTD("tt.rtd",,$B5,I$2)</f>
        <v>"services.rtd.subscriptionError"</v>
      </c>
      <c r="J5" s="10" t="str">
        <f ca="1">RTD("tt.rtd",,$B5,J$2)</f>
        <v>"services.rtd.subscriptionError"</v>
      </c>
      <c r="K5" s="5" t="str">
        <f t="shared" ca="1" si="0"/>
        <v>"services.rtd.subscriptionError"</v>
      </c>
      <c r="L5" s="5" t="str">
        <f t="shared" ca="1" si="1"/>
        <v>"services.rtd.subscriptionError"</v>
      </c>
    </row>
    <row r="6" spans="1:12" x14ac:dyDescent="0.25">
      <c r="A6" s="11" t="str">
        <f ca="1">$A$2&amp;"   FM"&amp;LEFT('cont list_bg'!C9,1)&amp;"00"&amp;RIGHT('cont list_bg'!C9,2)&amp;"!"</f>
        <v>I   FMZ0026!</v>
      </c>
      <c r="B6" s="9" t="str">
        <f ca="1">RTD("tt.rtd",,"Inst",$B$1,$A6)</f>
        <v>196073038322495181</v>
      </c>
      <c r="C6" s="10" t="str">
        <f ca="1">MID(RTD("tt.rtd",,$B6,C$2),7,1)&amp;MID(RTD("tt.rtd",,$B6,C$2),11,1)</f>
        <v>Z6</v>
      </c>
      <c r="D6" s="10" t="str">
        <f ca="1">RTD("tt.rtd",,$B6,D$2)</f>
        <v>"services.rtd.subscriptionError"</v>
      </c>
      <c r="E6" s="10" t="str">
        <f ca="1">RTD("tt.rtd",,$B6,E$2)</f>
        <v>"services.rtd.subscriptionError"</v>
      </c>
      <c r="F6" s="10" t="str">
        <f ca="1">RTD("tt.rtd",,$B6,F$2)</f>
        <v>"services.rtd.subscriptionError"</v>
      </c>
      <c r="G6" s="10" t="str">
        <f ca="1">RTD("tt.rtd",,$B6,G$2)</f>
        <v>"services.rtd.subscriptionError"</v>
      </c>
      <c r="H6" s="10" t="str">
        <f ca="1">RTD("tt.rtd",,$B6,H$2)</f>
        <v>"services.rtd.subscriptionError"</v>
      </c>
      <c r="I6" s="10" t="str">
        <f ca="1">RTD("tt.rtd",,$B6,I$2)</f>
        <v>"services.rtd.subscriptionError"</v>
      </c>
      <c r="J6" s="10" t="str">
        <f ca="1">RTD("tt.rtd",,$B6,J$2)</f>
        <v>"services.rtd.subscriptionError"</v>
      </c>
      <c r="K6" s="5" t="str">
        <f t="shared" ca="1" si="0"/>
        <v>"services.rtd.subscriptionError"</v>
      </c>
      <c r="L6" s="5" t="str">
        <f t="shared" ca="1" si="1"/>
        <v>"services.rtd.subscriptionError"</v>
      </c>
    </row>
    <row r="7" spans="1:12" x14ac:dyDescent="0.25">
      <c r="A7" s="11" t="str">
        <f ca="1">$A$2&amp;"   FM"&amp;LEFT('cont list_bg'!C10,1)&amp;"00"&amp;RIGHT('cont list_bg'!C10,2)&amp;"!"</f>
        <v>I   FMH0027!</v>
      </c>
      <c r="B7" s="9" t="str">
        <f ca="1">RTD("tt.rtd",,"Inst",$B$1,$A7)</f>
        <v>6532810731306051149</v>
      </c>
      <c r="C7" s="10" t="str">
        <f ca="1">MID(RTD("tt.rtd",,$B7,C$2),7,1)&amp;MID(RTD("tt.rtd",,$B7,C$2),11,1)</f>
        <v>H7</v>
      </c>
      <c r="D7" s="10" t="str">
        <f ca="1">RTD("tt.rtd",,$B7,D$2)</f>
        <v>"services.rtd.subscriptionError"</v>
      </c>
      <c r="E7" s="10" t="str">
        <f ca="1">RTD("tt.rtd",,$B7,E$2)</f>
        <v>"services.rtd.subscriptionError"</v>
      </c>
      <c r="F7" s="10" t="str">
        <f ca="1">RTD("tt.rtd",,$B7,F$2)</f>
        <v>"services.rtd.subscriptionError"</v>
      </c>
      <c r="G7" s="10" t="str">
        <f ca="1">RTD("tt.rtd",,$B7,G$2)</f>
        <v>"services.rtd.subscriptionError"</v>
      </c>
      <c r="H7" s="10" t="str">
        <f ca="1">RTD("tt.rtd",,$B7,H$2)</f>
        <v>"services.rtd.subscriptionError"</v>
      </c>
      <c r="I7" s="10" t="str">
        <f ca="1">RTD("tt.rtd",,$B7,I$2)</f>
        <v>"services.rtd.subscriptionError"</v>
      </c>
      <c r="J7" s="10" t="str">
        <f ca="1">RTD("tt.rtd",,$B7,J$2)</f>
        <v>"services.rtd.subscriptionError"</v>
      </c>
      <c r="K7" s="5" t="str">
        <f t="shared" ca="1" si="0"/>
        <v>"services.rtd.subscriptionError"</v>
      </c>
      <c r="L7" s="5" t="str">
        <f t="shared" ca="1" si="1"/>
        <v>"services.rtd.subscriptionError"</v>
      </c>
    </row>
    <row r="8" spans="1:12" x14ac:dyDescent="0.25">
      <c r="A8" s="11" t="str">
        <f ca="1">$A$2&amp;"   FM"&amp;LEFT('cont list_bg'!C11,1)&amp;"00"&amp;RIGHT('cont list_bg'!C11,2)&amp;"!"</f>
        <v>I   FMM0027!</v>
      </c>
      <c r="B8" s="9" t="str">
        <f ca="1">RTD("tt.rtd",,"Inst",$B$1,$A8)</f>
        <v>10290150595504250421</v>
      </c>
      <c r="C8" s="10" t="str">
        <f ca="1">MID(RTD("tt.rtd",,$B8,C$2),7,1)&amp;MID(RTD("tt.rtd",,$B8,C$2),11,1)</f>
        <v>M7</v>
      </c>
      <c r="D8" s="10" t="str">
        <f ca="1">RTD("tt.rtd",,$B8,D$2)</f>
        <v>"services.rtd.subscriptionError"</v>
      </c>
      <c r="E8" s="10" t="str">
        <f ca="1">RTD("tt.rtd",,$B8,E$2)</f>
        <v>"services.rtd.subscriptionError"</v>
      </c>
      <c r="F8" s="10" t="str">
        <f ca="1">RTD("tt.rtd",,$B8,F$2)</f>
        <v>"services.rtd.subscriptionError"</v>
      </c>
      <c r="G8" s="10" t="str">
        <f ca="1">RTD("tt.rtd",,$B8,G$2)</f>
        <v>"services.rtd.subscriptionError"</v>
      </c>
      <c r="H8" s="10" t="str">
        <f ca="1">RTD("tt.rtd",,$B8,H$2)</f>
        <v>"services.rtd.subscriptionError"</v>
      </c>
      <c r="I8" s="10" t="str">
        <f ca="1">RTD("tt.rtd",,$B8,I$2)</f>
        <v>"services.rtd.subscriptionError"</v>
      </c>
      <c r="J8" s="10" t="str">
        <f ca="1">RTD("tt.rtd",,$B8,J$2)</f>
        <v>"services.rtd.subscriptionError"</v>
      </c>
      <c r="K8" s="5" t="str">
        <f t="shared" ca="1" si="0"/>
        <v>"services.rtd.subscriptionError"</v>
      </c>
      <c r="L8" s="5" t="str">
        <f t="shared" ca="1" si="1"/>
        <v>"services.rtd.subscriptionError"</v>
      </c>
    </row>
    <row r="9" spans="1:12" x14ac:dyDescent="0.25">
      <c r="A9" s="11" t="str">
        <f ca="1">$A$2&amp;"   FM"&amp;LEFT('cont list_bg'!C12,1)&amp;"00"&amp;RIGHT('cont list_bg'!C12,2)&amp;"!"</f>
        <v>I   FMU0027!</v>
      </c>
      <c r="B9" s="9" t="str">
        <f ca="1">RTD("tt.rtd",,"Inst",$B$1,$A9)</f>
        <v>18341350720628559368</v>
      </c>
      <c r="C9" s="10" t="str">
        <f ca="1">MID(RTD("tt.rtd",,$B9,C$2),7,1)&amp;MID(RTD("tt.rtd",,$B9,C$2),11,1)</f>
        <v>U7</v>
      </c>
      <c r="D9" s="10" t="str">
        <f ca="1">RTD("tt.rtd",,$B9,D$2)</f>
        <v>"services.rtd.subscriptionError"</v>
      </c>
      <c r="E9" s="10" t="str">
        <f ca="1">RTD("tt.rtd",,$B9,E$2)</f>
        <v>"services.rtd.subscriptionError"</v>
      </c>
      <c r="F9" s="10" t="str">
        <f ca="1">RTD("tt.rtd",,$B9,F$2)</f>
        <v>"services.rtd.subscriptionError"</v>
      </c>
      <c r="G9" s="10" t="str">
        <f ca="1">RTD("tt.rtd",,$B9,G$2)</f>
        <v>"services.rtd.subscriptionError"</v>
      </c>
      <c r="H9" s="10" t="str">
        <f ca="1">RTD("tt.rtd",,$B9,H$2)</f>
        <v>"services.rtd.subscriptionError"</v>
      </c>
      <c r="I9" s="10" t="str">
        <f ca="1">RTD("tt.rtd",,$B9,I$2)</f>
        <v>"services.rtd.subscriptionError"</v>
      </c>
      <c r="J9" s="10" t="str">
        <f ca="1">RTD("tt.rtd",,$B9,J$2)</f>
        <v>"services.rtd.subscriptionError"</v>
      </c>
      <c r="K9" s="5" t="str">
        <f t="shared" ca="1" si="0"/>
        <v>"services.rtd.subscriptionError"</v>
      </c>
      <c r="L9" s="5" t="str">
        <f t="shared" ca="1" si="1"/>
        <v>"services.rtd.subscriptionError"</v>
      </c>
    </row>
    <row r="10" spans="1:12" x14ac:dyDescent="0.25">
      <c r="A10" s="11" t="str">
        <f ca="1">$A$2&amp;"   FM"&amp;LEFT('cont list_bg'!C13,1)&amp;"00"&amp;RIGHT('cont list_bg'!C13,2)&amp;"!"</f>
        <v>I   FMZ0027!</v>
      </c>
      <c r="B10" s="9" t="str">
        <f ca="1">RTD("tt.rtd",,"Inst",$B$1,$A10)</f>
        <v>17244622560953637946</v>
      </c>
      <c r="C10" s="10" t="str">
        <f ca="1">MID(RTD("tt.rtd",,$B10,C$2),7,1)&amp;MID(RTD("tt.rtd",,$B10,C$2),11,1)</f>
        <v>Z7</v>
      </c>
      <c r="D10" s="10" t="str">
        <f ca="1">RTD("tt.rtd",,$B10,D$2)</f>
        <v>"services.rtd.subscriptionError"</v>
      </c>
      <c r="E10" s="10" t="str">
        <f ca="1">RTD("tt.rtd",,$B10,E$2)</f>
        <v>"services.rtd.subscriptionError"</v>
      </c>
      <c r="F10" s="10" t="str">
        <f ca="1">RTD("tt.rtd",,$B10,F$2)</f>
        <v>"services.rtd.subscriptionError"</v>
      </c>
      <c r="G10" s="10" t="str">
        <f ca="1">RTD("tt.rtd",,$B10,G$2)</f>
        <v>"services.rtd.subscriptionError"</v>
      </c>
      <c r="H10" s="10" t="str">
        <f ca="1">RTD("tt.rtd",,$B10,H$2)</f>
        <v>"services.rtd.subscriptionError"</v>
      </c>
      <c r="I10" s="10" t="str">
        <f ca="1">RTD("tt.rtd",,$B10,I$2)</f>
        <v>"services.rtd.subscriptionError"</v>
      </c>
      <c r="J10" s="10" t="str">
        <f ca="1">RTD("tt.rtd",,$B10,J$2)</f>
        <v>"services.rtd.subscriptionError"</v>
      </c>
      <c r="K10" s="5" t="str">
        <f t="shared" ca="1" si="0"/>
        <v>"services.rtd.subscriptionError"</v>
      </c>
      <c r="L10" s="5" t="str">
        <f t="shared" ca="1" si="1"/>
        <v>"services.rtd.subscriptionError"</v>
      </c>
    </row>
    <row r="11" spans="1:12" x14ac:dyDescent="0.25">
      <c r="A11" s="11" t="str">
        <f ca="1">$A$2&amp;"   FM"&amp;LEFT('cont list_bg'!C14,1)&amp;"00"&amp;RIGHT('cont list_bg'!C14,2)&amp;"!"</f>
        <v>I   FMH0028!</v>
      </c>
      <c r="B11" s="9" t="str">
        <f ca="1">RTD("tt.rtd",,"Inst",$B$1,$A11)</f>
        <v>6159411209048528655</v>
      </c>
      <c r="C11" s="10" t="str">
        <f ca="1">MID(RTD("tt.rtd",,$B11,C$2),7,1)&amp;MID(RTD("tt.rtd",,$B11,C$2),11,1)</f>
        <v>H8</v>
      </c>
      <c r="D11" s="10" t="str">
        <f ca="1">RTD("tt.rtd",,$B11,D$2)</f>
        <v>"services.rtd.subscriptionError"</v>
      </c>
      <c r="E11" s="10" t="str">
        <f ca="1">RTD("tt.rtd",,$B11,E$2)</f>
        <v>"services.rtd.subscriptionError"</v>
      </c>
      <c r="F11" s="10" t="str">
        <f ca="1">RTD("tt.rtd",,$B11,F$2)</f>
        <v>"services.rtd.subscriptionError"</v>
      </c>
      <c r="G11" s="10" t="str">
        <f ca="1">RTD("tt.rtd",,$B11,G$2)</f>
        <v>"services.rtd.subscriptionError"</v>
      </c>
      <c r="H11" s="10" t="str">
        <f ca="1">RTD("tt.rtd",,$B11,H$2)</f>
        <v>"services.rtd.subscriptionError"</v>
      </c>
      <c r="I11" s="10" t="str">
        <f ca="1">RTD("tt.rtd",,$B11,I$2)</f>
        <v>"services.rtd.subscriptionError"</v>
      </c>
      <c r="J11" s="10" t="str">
        <f ca="1">RTD("tt.rtd",,$B11,J$2)</f>
        <v>"services.rtd.subscriptionError"</v>
      </c>
      <c r="K11" s="5" t="str">
        <f t="shared" ca="1" si="0"/>
        <v>"services.rtd.subscriptionError"</v>
      </c>
      <c r="L11" s="5" t="str">
        <f t="shared" ca="1" si="1"/>
        <v>"services.rtd.subscriptionError"</v>
      </c>
    </row>
    <row r="12" spans="1:12" x14ac:dyDescent="0.25">
      <c r="A12" s="11" t="str">
        <f ca="1">$A$2&amp;"   FM"&amp;LEFT('cont list_bg'!C15,1)&amp;"00"&amp;RIGHT('cont list_bg'!C15,2)&amp;"!"</f>
        <v>I   FMM0028!</v>
      </c>
      <c r="B12" s="9" t="str">
        <f ca="1">RTD("tt.rtd",,"Inst",$B$1,$A12)</f>
        <v>16203147123713749534</v>
      </c>
      <c r="C12" s="10" t="str">
        <f ca="1">MID(RTD("tt.rtd",,$B12,C$2),7,1)&amp;MID(RTD("tt.rtd",,$B12,C$2),11,1)</f>
        <v>M8</v>
      </c>
      <c r="D12" s="10" t="str">
        <f ca="1">RTD("tt.rtd",,$B12,D$2)</f>
        <v>"services.rtd.subscriptionError"</v>
      </c>
      <c r="E12" s="10" t="str">
        <f ca="1">RTD("tt.rtd",,$B12,E$2)</f>
        <v>"services.rtd.subscriptionError"</v>
      </c>
      <c r="F12" s="10" t="str">
        <f ca="1">RTD("tt.rtd",,$B12,F$2)</f>
        <v>"services.rtd.subscriptionError"</v>
      </c>
      <c r="G12" s="10" t="str">
        <f ca="1">RTD("tt.rtd",,$B12,G$2)</f>
        <v>"services.rtd.subscriptionError"</v>
      </c>
      <c r="H12" s="10" t="str">
        <f ca="1">RTD("tt.rtd",,$B12,H$2)</f>
        <v>"services.rtd.subscriptionError"</v>
      </c>
      <c r="I12" s="10" t="str">
        <f ca="1">RTD("tt.rtd",,$B12,I$2)</f>
        <v>"services.rtd.subscriptionError"</v>
      </c>
      <c r="J12" s="10" t="str">
        <f ca="1">RTD("tt.rtd",,$B12,J$2)</f>
        <v>"services.rtd.subscriptionError"</v>
      </c>
      <c r="K12" s="5" t="str">
        <f t="shared" ca="1" si="0"/>
        <v>"services.rtd.subscriptionError"</v>
      </c>
      <c r="L12" s="5" t="str">
        <f t="shared" ca="1" si="1"/>
        <v>"services.rtd.subscriptionError"</v>
      </c>
    </row>
    <row r="13" spans="1:12" x14ac:dyDescent="0.25">
      <c r="A13" s="11" t="str">
        <f ca="1">$A$2&amp;"   FM"&amp;LEFT('cont list_bg'!C16,1)&amp;"00"&amp;RIGHT('cont list_bg'!C16,2)&amp;"!"</f>
        <v>I   FMU0028!</v>
      </c>
      <c r="B13" s="9" t="str">
        <f ca="1">RTD("tt.rtd",,"Inst",$B$1,$A13)</f>
        <v>13181973989553924789</v>
      </c>
      <c r="C13" s="10" t="str">
        <f ca="1">MID(RTD("tt.rtd",,$B13,C$2),7,1)&amp;MID(RTD("tt.rtd",,$B13,C$2),11,1)</f>
        <v>U8</v>
      </c>
      <c r="D13" s="10" t="str">
        <f ca="1">RTD("tt.rtd",,$B13,D$2)</f>
        <v>"services.rtd.subscriptionError"</v>
      </c>
      <c r="E13" s="10" t="str">
        <f ca="1">RTD("tt.rtd",,$B13,E$2)</f>
        <v>"services.rtd.subscriptionError"</v>
      </c>
      <c r="F13" s="10" t="str">
        <f ca="1">RTD("tt.rtd",,$B13,F$2)</f>
        <v>"services.rtd.subscriptionError"</v>
      </c>
      <c r="G13" s="10" t="str">
        <f ca="1">RTD("tt.rtd",,$B13,G$2)</f>
        <v>"services.rtd.subscriptionError"</v>
      </c>
      <c r="H13" s="10" t="str">
        <f ca="1">RTD("tt.rtd",,$B13,H$2)</f>
        <v>"services.rtd.subscriptionError"</v>
      </c>
      <c r="I13" s="10" t="str">
        <f ca="1">RTD("tt.rtd",,$B13,I$2)</f>
        <v>"services.rtd.subscriptionError"</v>
      </c>
      <c r="J13" s="10" t="str">
        <f ca="1">RTD("tt.rtd",,$B13,J$2)</f>
        <v>"services.rtd.subscriptionError"</v>
      </c>
      <c r="K13" s="5" t="str">
        <f t="shared" ca="1" si="0"/>
        <v>"services.rtd.subscriptionError"</v>
      </c>
      <c r="L13" s="5" t="str">
        <f t="shared" ca="1" si="1"/>
        <v>"services.rtd.subscriptionError"</v>
      </c>
    </row>
    <row r="14" spans="1:12" x14ac:dyDescent="0.25">
      <c r="A14" s="11" t="str">
        <f ca="1">$A$2&amp;"   FM"&amp;LEFT('cont list_bg'!C17,1)&amp;"00"&amp;RIGHT('cont list_bg'!C17,2)&amp;"!"</f>
        <v>I   FMZ0028!</v>
      </c>
      <c r="B14" s="9" t="str">
        <f ca="1">RTD("tt.rtd",,"Inst",$B$1,$A14)</f>
        <v>6189133329181631919</v>
      </c>
      <c r="C14" s="10" t="str">
        <f ca="1">MID(RTD("tt.rtd",,$B14,C$2),7,1)&amp;MID(RTD("tt.rtd",,$B14,C$2),11,1)</f>
        <v>Z8</v>
      </c>
      <c r="D14" s="10" t="str">
        <f ca="1">RTD("tt.rtd",,$B14,D$2)</f>
        <v>"services.rtd.subscriptionError"</v>
      </c>
      <c r="E14" s="10" t="str">
        <f ca="1">RTD("tt.rtd",,$B14,E$2)</f>
        <v>"services.rtd.subscriptionError"</v>
      </c>
      <c r="F14" s="10" t="str">
        <f ca="1">RTD("tt.rtd",,$B14,F$2)</f>
        <v>"services.rtd.subscriptionError"</v>
      </c>
      <c r="G14" s="10" t="str">
        <f ca="1">RTD("tt.rtd",,$B14,G$2)</f>
        <v>"services.rtd.subscriptionError"</v>
      </c>
      <c r="H14" s="10" t="str">
        <f ca="1">RTD("tt.rtd",,$B14,H$2)</f>
        <v>"services.rtd.subscriptionError"</v>
      </c>
      <c r="I14" s="10" t="str">
        <f ca="1">RTD("tt.rtd",,$B14,I$2)</f>
        <v>"services.rtd.subscriptionError"</v>
      </c>
      <c r="J14" s="10" t="str">
        <f ca="1">RTD("tt.rtd",,$B14,J$2)</f>
        <v>"services.rtd.subscriptionError"</v>
      </c>
      <c r="K14" s="5" t="str">
        <f t="shared" ca="1" si="0"/>
        <v>"services.rtd.subscriptionError"</v>
      </c>
      <c r="L14" s="5" t="str">
        <f t="shared" ca="1" si="1"/>
        <v>"services.rtd.subscriptionError"</v>
      </c>
    </row>
    <row r="15" spans="1:12" x14ac:dyDescent="0.25">
      <c r="A15" s="11" t="str">
        <f ca="1">$A$2&amp;"   FM"&amp;LEFT('cont list_bg'!C18,1)&amp;"00"&amp;RIGHT('cont list_bg'!C18,2)&amp;"!"</f>
        <v>I   FMH0029!</v>
      </c>
      <c r="B15" s="9" t="str">
        <f ca="1">RTD("tt.rtd",,"Inst",$B$1,$A15)</f>
        <v>1972877616990500330</v>
      </c>
      <c r="C15" s="10" t="str">
        <f ca="1">MID(RTD("tt.rtd",,$B15,C$2),7,1)&amp;MID(RTD("tt.rtd",,$B15,C$2),11,1)</f>
        <v>H9</v>
      </c>
      <c r="D15" s="10" t="str">
        <f ca="1">RTD("tt.rtd",,$B15,D$2)</f>
        <v>"services.rtd.subscriptionError"</v>
      </c>
      <c r="E15" s="10" t="str">
        <f ca="1">RTD("tt.rtd",,$B15,E$2)</f>
        <v>"services.rtd.subscriptionError"</v>
      </c>
      <c r="F15" s="10" t="str">
        <f ca="1">RTD("tt.rtd",,$B15,F$2)</f>
        <v>"services.rtd.subscriptionError"</v>
      </c>
      <c r="G15" s="10" t="str">
        <f ca="1">RTD("tt.rtd",,$B15,G$2)</f>
        <v>"services.rtd.subscriptionError"</v>
      </c>
      <c r="H15" s="10" t="str">
        <f ca="1">RTD("tt.rtd",,$B15,H$2)</f>
        <v>"services.rtd.subscriptionError"</v>
      </c>
      <c r="I15" s="10" t="str">
        <f ca="1">RTD("tt.rtd",,$B15,I$2)</f>
        <v>"services.rtd.subscriptionError"</v>
      </c>
      <c r="J15" s="10" t="str">
        <f ca="1">RTD("tt.rtd",,$B15,J$2)</f>
        <v>"services.rtd.subscriptionError"</v>
      </c>
      <c r="K15" s="5" t="str">
        <f t="shared" ca="1" si="0"/>
        <v>"services.rtd.subscriptionError"</v>
      </c>
      <c r="L15" s="5" t="str">
        <f t="shared" ca="1" si="1"/>
        <v>"services.rtd.subscriptionError"</v>
      </c>
    </row>
    <row r="16" spans="1:12" x14ac:dyDescent="0.25">
      <c r="A16" s="11" t="str">
        <f ca="1">$A$2&amp;"   FM"&amp;LEFT('cont list_bg'!C19,1)&amp;"00"&amp;RIGHT('cont list_bg'!C19,2)&amp;"!"</f>
        <v>I   FMM0029!</v>
      </c>
      <c r="B16" s="9" t="str">
        <f ca="1">RTD("tt.rtd",,"Inst",$B$1,$A16)</f>
        <v>5829843526467061673</v>
      </c>
      <c r="C16" s="10" t="str">
        <f ca="1">MID(RTD("tt.rtd",,$B16,C$2),7,1)&amp;MID(RTD("tt.rtd",,$B16,C$2),11,1)</f>
        <v>M9</v>
      </c>
      <c r="D16" s="10" t="str">
        <f ca="1">RTD("tt.rtd",,$B16,D$2)</f>
        <v>"services.rtd.subscriptionError"</v>
      </c>
      <c r="E16" s="10" t="str">
        <f ca="1">RTD("tt.rtd",,$B16,E$2)</f>
        <v>"services.rtd.subscriptionError"</v>
      </c>
      <c r="F16" s="10" t="str">
        <f ca="1">RTD("tt.rtd",,$B16,F$2)</f>
        <v>"services.rtd.subscriptionError"</v>
      </c>
      <c r="G16" s="10" t="str">
        <f ca="1">RTD("tt.rtd",,$B16,G$2)</f>
        <v>"services.rtd.subscriptionError"</v>
      </c>
      <c r="H16" s="10" t="str">
        <f ca="1">RTD("tt.rtd",,$B16,H$2)</f>
        <v>"services.rtd.subscriptionError"</v>
      </c>
      <c r="I16" s="10" t="str">
        <f ca="1">RTD("tt.rtd",,$B16,I$2)</f>
        <v>"services.rtd.subscriptionError"</v>
      </c>
      <c r="J16" s="10" t="str">
        <f ca="1">RTD("tt.rtd",,$B16,J$2)</f>
        <v>"services.rtd.subscriptionError"</v>
      </c>
      <c r="K16" s="5" t="str">
        <f t="shared" ca="1" si="0"/>
        <v>"services.rtd.subscriptionError"</v>
      </c>
      <c r="L16" s="5" t="str">
        <f t="shared" ca="1" si="1"/>
        <v>"services.rtd.subscriptionError"</v>
      </c>
    </row>
    <row r="17" spans="1:12" x14ac:dyDescent="0.25">
      <c r="A17" s="11" t="str">
        <f ca="1">$A$2&amp;"   FM"&amp;LEFT('cont list_bg'!C20,1)&amp;"00"&amp;RIGHT('cont list_bg'!C20,2)&amp;"!"</f>
        <v>I   FMU0029!</v>
      </c>
      <c r="B17" s="9" t="str">
        <f ca="1">RTD("tt.rtd",,"Inst",$B$1,$A17)</f>
        <v>17983703097809095440</v>
      </c>
      <c r="C17" s="10" t="str">
        <f ca="1">MID(RTD("tt.rtd",,$B17,C$2),7,1)&amp;MID(RTD("tt.rtd",,$B17,C$2),11,1)</f>
        <v>U9</v>
      </c>
      <c r="D17" s="10" t="str">
        <f ca="1">RTD("tt.rtd",,$B17,D$2)</f>
        <v>"services.rtd.subscriptionError"</v>
      </c>
      <c r="E17" s="10" t="str">
        <f ca="1">RTD("tt.rtd",,$B17,E$2)</f>
        <v>"services.rtd.subscriptionError"</v>
      </c>
      <c r="F17" s="10" t="str">
        <f ca="1">RTD("tt.rtd",,$B17,F$2)</f>
        <v>"services.rtd.subscriptionError"</v>
      </c>
      <c r="G17" s="10" t="str">
        <f ca="1">RTD("tt.rtd",,$B17,G$2)</f>
        <v>"services.rtd.subscriptionError"</v>
      </c>
      <c r="H17" s="10" t="str">
        <f ca="1">RTD("tt.rtd",,$B17,H$2)</f>
        <v>"services.rtd.subscriptionError"</v>
      </c>
      <c r="I17" s="10" t="str">
        <f ca="1">RTD("tt.rtd",,$B17,I$2)</f>
        <v>"services.rtd.subscriptionError"</v>
      </c>
      <c r="J17" s="10" t="str">
        <f ca="1">RTD("tt.rtd",,$B17,J$2)</f>
        <v>"services.rtd.subscriptionError"</v>
      </c>
      <c r="K17" s="5" t="str">
        <f t="shared" ca="1" si="0"/>
        <v>"services.rtd.subscriptionError"</v>
      </c>
      <c r="L17" s="5" t="str">
        <f t="shared" ca="1" si="1"/>
        <v>"services.rtd.subscriptionError"</v>
      </c>
    </row>
    <row r="18" spans="1:12" x14ac:dyDescent="0.25">
      <c r="A18" s="11" t="str">
        <f ca="1">$A$2&amp;"   FM"&amp;LEFT('cont list_bg'!C21,1)&amp;"00"&amp;RIGHT('cont list_bg'!C21,2)&amp;"!"</f>
        <v>I   FMZ0029!</v>
      </c>
      <c r="B18" s="9" t="str">
        <f ca="1">RTD("tt.rtd",,"Inst",$B$1,$A18)</f>
        <v>18370117369950377328</v>
      </c>
      <c r="C18" s="10" t="str">
        <f ca="1">MID(RTD("tt.rtd",,$B18,C$2),7,1)&amp;MID(RTD("tt.rtd",,$B18,C$2),11,1)</f>
        <v>Z9</v>
      </c>
      <c r="D18" s="10" t="str">
        <f ca="1">RTD("tt.rtd",,$B18,D$2)</f>
        <v>"services.rtd.subscriptionError"</v>
      </c>
      <c r="E18" s="10" t="str">
        <f ca="1">RTD("tt.rtd",,$B18,E$2)</f>
        <v>"services.rtd.subscriptionError"</v>
      </c>
      <c r="F18" s="10" t="str">
        <f ca="1">RTD("tt.rtd",,$B18,F$2)</f>
        <v>"services.rtd.subscriptionError"</v>
      </c>
      <c r="G18" s="10" t="str">
        <f ca="1">RTD("tt.rtd",,$B18,G$2)</f>
        <v>"services.rtd.subscriptionError"</v>
      </c>
      <c r="H18" s="10" t="str">
        <f ca="1">RTD("tt.rtd",,$B18,H$2)</f>
        <v>"services.rtd.subscriptionError"</v>
      </c>
      <c r="I18" s="10" t="str">
        <f ca="1">RTD("tt.rtd",,$B18,I$2)</f>
        <v>"services.rtd.subscriptionError"</v>
      </c>
      <c r="J18" s="10" t="str">
        <f ca="1">RTD("tt.rtd",,$B18,J$2)</f>
        <v>"services.rtd.subscriptionError"</v>
      </c>
      <c r="K18" s="5" t="str">
        <f t="shared" ca="1" si="0"/>
        <v>"services.rtd.subscriptionError"</v>
      </c>
      <c r="L18" s="5" t="str">
        <f t="shared" ca="1" si="1"/>
        <v>"services.rtd.subscriptionError"</v>
      </c>
    </row>
    <row r="19" spans="1:12" x14ac:dyDescent="0.25">
      <c r="A19" s="11" t="str">
        <f ca="1">$A$2&amp;"   FM"&amp;LEFT('cont list_bg'!C22,1)&amp;"00"&amp;RIGHT('cont list_bg'!C22,2)&amp;"!"</f>
        <v>I   FMH0030!</v>
      </c>
      <c r="B19" s="9" t="str">
        <f ca="1">RTD("tt.rtd",,"Inst",$B$1,$A19)</f>
        <v>6488806392486217148</v>
      </c>
      <c r="C19" s="10" t="str">
        <f ca="1">MID(RTD("tt.rtd",,$B19,C$2),7,1)&amp;MID(RTD("tt.rtd",,$B19,C$2),11,1)</f>
        <v>H0</v>
      </c>
      <c r="D19" s="10" t="str">
        <f ca="1">RTD("tt.rtd",,$B19,D$2)</f>
        <v>"services.rtd.subscriptionError"</v>
      </c>
      <c r="E19" s="10" t="str">
        <f ca="1">RTD("tt.rtd",,$B19,E$2)</f>
        <v>"services.rtd.subscriptionError"</v>
      </c>
      <c r="F19" s="10" t="str">
        <f ca="1">RTD("tt.rtd",,$B19,F$2)</f>
        <v>"services.rtd.subscriptionError"</v>
      </c>
      <c r="G19" s="10" t="str">
        <f ca="1">RTD("tt.rtd",,$B19,G$2)</f>
        <v>"services.rtd.subscriptionError"</v>
      </c>
      <c r="H19" s="10" t="str">
        <f ca="1">RTD("tt.rtd",,$B19,H$2)</f>
        <v>"services.rtd.subscriptionError"</v>
      </c>
      <c r="I19" s="10" t="str">
        <f ca="1">RTD("tt.rtd",,$B19,I$2)</f>
        <v>"services.rtd.subscriptionError"</v>
      </c>
      <c r="J19" s="10" t="str">
        <f ca="1">RTD("tt.rtd",,$B19,J$2)</f>
        <v>"services.rtd.subscriptionError"</v>
      </c>
      <c r="K19" s="5" t="str">
        <f t="shared" ca="1" si="0"/>
        <v>"services.rtd.subscriptionError"</v>
      </c>
      <c r="L19" s="5" t="str">
        <f t="shared" ca="1" si="1"/>
        <v>"services.rtd.subscriptionError"</v>
      </c>
    </row>
    <row r="20" spans="1:12" x14ac:dyDescent="0.25">
      <c r="A20" s="11" t="str">
        <f ca="1">$A$2&amp;"   FM"&amp;LEFT('cont list_bg'!C23,1)&amp;"00"&amp;RIGHT('cont list_bg'!C23,2)&amp;"!"</f>
        <v>I   FMM0030!</v>
      </c>
      <c r="B20" s="9" t="str">
        <f ca="1">RTD("tt.rtd",,"Inst",$B$1,$A20)</f>
        <v>1727586975590923283</v>
      </c>
      <c r="C20" s="10" t="str">
        <f ca="1">MID(RTD("tt.rtd",,$B20,C$2),7,1)&amp;MID(RTD("tt.rtd",,$B20,C$2),11,1)</f>
        <v>M0</v>
      </c>
      <c r="D20" s="10" t="str">
        <f ca="1">RTD("tt.rtd",,$B20,D$2)</f>
        <v>"services.rtd.subscriptionError"</v>
      </c>
      <c r="E20" s="10" t="str">
        <f ca="1">RTD("tt.rtd",,$B20,E$2)</f>
        <v>"services.rtd.subscriptionError"</v>
      </c>
      <c r="F20" s="10" t="str">
        <f ca="1">RTD("tt.rtd",,$B20,F$2)</f>
        <v>"services.rtd.subscriptionError"</v>
      </c>
      <c r="G20" s="10" t="str">
        <f ca="1">RTD("tt.rtd",,$B20,G$2)</f>
        <v>"services.rtd.subscriptionError"</v>
      </c>
      <c r="H20" s="10" t="str">
        <f ca="1">RTD("tt.rtd",,$B20,H$2)</f>
        <v>"services.rtd.subscriptionError"</v>
      </c>
      <c r="I20" s="10" t="str">
        <f ca="1">RTD("tt.rtd",,$B20,I$2)</f>
        <v>"services.rtd.subscriptionError"</v>
      </c>
      <c r="J20" s="10" t="str">
        <f ca="1">RTD("tt.rtd",,$B20,J$2)</f>
        <v>"services.rtd.subscriptionError"</v>
      </c>
      <c r="K20" s="5" t="str">
        <f t="shared" ca="1" si="0"/>
        <v>"services.rtd.subscriptionError"</v>
      </c>
      <c r="L20" s="5" t="str">
        <f t="shared" ca="1" si="1"/>
        <v>"services.rtd.subscriptionError"</v>
      </c>
    </row>
    <row r="21" spans="1:12" x14ac:dyDescent="0.25">
      <c r="A21" s="11" t="str">
        <f ca="1">$A$2&amp;"   FM"&amp;LEFT('cont list_bg'!C24,1)&amp;"00"&amp;RIGHT('cont list_bg'!C24,2)&amp;"!"</f>
        <v>I   FMU0030!</v>
      </c>
      <c r="B21" s="9" t="str">
        <f ca="1">RTD("tt.rtd",,"Inst",$B$1,$A21)</f>
        <v>7297840225510912048</v>
      </c>
      <c r="C21" s="10" t="str">
        <f ca="1">MID(RTD("tt.rtd",,$B21,C$2),7,1)&amp;MID(RTD("tt.rtd",,$B21,C$2),11,1)</f>
        <v>U0</v>
      </c>
      <c r="D21" s="10" t="str">
        <f ca="1">RTD("tt.rtd",,$B21,D$2)</f>
        <v>"services.rtd.subscriptionError"</v>
      </c>
      <c r="E21" s="10" t="str">
        <f ca="1">RTD("tt.rtd",,$B21,E$2)</f>
        <v>"services.rtd.subscriptionError"</v>
      </c>
      <c r="F21" s="10" t="str">
        <f ca="1">RTD("tt.rtd",,$B21,F$2)</f>
        <v>"services.rtd.subscriptionError"</v>
      </c>
      <c r="G21" s="10" t="str">
        <f ca="1">RTD("tt.rtd",,$B21,G$2)</f>
        <v>"services.rtd.subscriptionError"</v>
      </c>
      <c r="H21" s="10" t="str">
        <f ca="1">RTD("tt.rtd",,$B21,H$2)</f>
        <v>"services.rtd.subscriptionError"</v>
      </c>
      <c r="I21" s="10" t="str">
        <f ca="1">RTD("tt.rtd",,$B21,I$2)</f>
        <v>"services.rtd.subscriptionError"</v>
      </c>
      <c r="J21" s="10" t="str">
        <f ca="1">RTD("tt.rtd",,$B21,J$2)</f>
        <v>"services.rtd.subscriptionError"</v>
      </c>
      <c r="K21" s="5" t="str">
        <f t="shared" ca="1" si="0"/>
        <v>"services.rtd.subscriptionError"</v>
      </c>
      <c r="L21" s="5" t="str">
        <f t="shared" ca="1" si="1"/>
        <v>"services.rtd.subscriptionError"</v>
      </c>
    </row>
    <row r="22" spans="1:12" x14ac:dyDescent="0.25">
      <c r="A22" s="11" t="str">
        <f ca="1">$A$2&amp;"   FM"&amp;LEFT('cont list_bg'!C25,1)&amp;"00"&amp;RIGHT('cont list_bg'!C25,2)&amp;"!"</f>
        <v>I   FMZ0030!</v>
      </c>
      <c r="B22" s="9" t="str">
        <f ca="1">RTD("tt.rtd",,"Inst",$B$1,$A22)</f>
        <v>9275986266275574972</v>
      </c>
      <c r="C22" s="10" t="str">
        <f ca="1">MID(RTD("tt.rtd",,$B22,C$2),7,1)&amp;MID(RTD("tt.rtd",,$B22,C$2),11,1)</f>
        <v>Z0</v>
      </c>
      <c r="D22" s="10" t="str">
        <f ca="1">RTD("tt.rtd",,$B22,D$2)</f>
        <v>"services.rtd.subscriptionError"</v>
      </c>
      <c r="E22" s="10" t="str">
        <f ca="1">RTD("tt.rtd",,$B22,E$2)</f>
        <v>"services.rtd.subscriptionError"</v>
      </c>
      <c r="F22" s="10" t="str">
        <f ca="1">RTD("tt.rtd",,$B22,F$2)</f>
        <v>"services.rtd.subscriptionError"</v>
      </c>
      <c r="G22" s="10" t="str">
        <f ca="1">RTD("tt.rtd",,$B22,G$2)</f>
        <v>"services.rtd.subscriptionError"</v>
      </c>
      <c r="H22" s="10" t="str">
        <f ca="1">RTD("tt.rtd",,$B22,H$2)</f>
        <v>"services.rtd.subscriptionError"</v>
      </c>
      <c r="I22" s="10" t="str">
        <f ca="1">RTD("tt.rtd",,$B22,I$2)</f>
        <v>"services.rtd.subscriptionError"</v>
      </c>
      <c r="J22" s="10" t="str">
        <f ca="1">RTD("tt.rtd",,$B22,J$2)</f>
        <v>"services.rtd.subscriptionError"</v>
      </c>
      <c r="K22" s="5" t="str">
        <f t="shared" ca="1" si="0"/>
        <v>"services.rtd.subscriptionError"</v>
      </c>
      <c r="L22" s="5" t="str">
        <f t="shared" ca="1" si="1"/>
        <v>"services.rtd.subscriptionError"</v>
      </c>
    </row>
    <row r="23" spans="1:12" x14ac:dyDescent="0.25">
      <c r="A23" s="11" t="str">
        <f ca="1">$A$2&amp;"   FM"&amp;LEFT('cont list_bg'!C26,1)&amp;"00"&amp;RIGHT('cont list_bg'!C26,2)&amp;"!"</f>
        <v>I   FMH0031!</v>
      </c>
      <c r="B23" s="9" t="str">
        <f ca="1">RTD("tt.rtd",,"Inst",$B$1,$A23)</f>
        <v>16839673253147663046</v>
      </c>
      <c r="C23" s="10" t="str">
        <f ca="1">MID(RTD("tt.rtd",,$B23,C$2),7,1)&amp;MID(RTD("tt.rtd",,$B23,C$2),11,1)</f>
        <v>H1</v>
      </c>
      <c r="D23" s="10" t="str">
        <f ca="1">RTD("tt.rtd",,$B23,D$2)</f>
        <v>"services.rtd.subscriptionError"</v>
      </c>
      <c r="E23" s="10" t="str">
        <f ca="1">RTD("tt.rtd",,$B23,E$2)</f>
        <v>"services.rtd.subscriptionError"</v>
      </c>
      <c r="F23" s="10" t="str">
        <f ca="1">RTD("tt.rtd",,$B23,F$2)</f>
        <v>"services.rtd.subscriptionError"</v>
      </c>
      <c r="G23" s="10" t="str">
        <f ca="1">RTD("tt.rtd",,$B23,G$2)</f>
        <v>"services.rtd.subscriptionError"</v>
      </c>
      <c r="H23" s="10" t="str">
        <f ca="1">RTD("tt.rtd",,$B23,H$2)</f>
        <v>"services.rtd.subscriptionError"</v>
      </c>
      <c r="I23" s="10" t="str">
        <f ca="1">RTD("tt.rtd",,$B23,I$2)</f>
        <v>"services.rtd.subscriptionError"</v>
      </c>
      <c r="J23" s="10" t="str">
        <f ca="1">RTD("tt.rtd",,$B23,J$2)</f>
        <v>"services.rtd.subscriptionError"</v>
      </c>
      <c r="K23" s="5" t="str">
        <f t="shared" ca="1" si="0"/>
        <v>"services.rtd.subscriptionError"</v>
      </c>
      <c r="L23" s="5" t="str">
        <f t="shared" ca="1" si="1"/>
        <v>"services.rtd.subscriptionError"</v>
      </c>
    </row>
    <row r="24" spans="1:12" x14ac:dyDescent="0.25">
      <c r="A24" s="11" t="str">
        <f ca="1">$A$2&amp;"   FM"&amp;LEFT('cont list_bg'!C27,1)&amp;"00"&amp;RIGHT('cont list_bg'!C27,2)&amp;"!"</f>
        <v>I   FMM0031!</v>
      </c>
      <c r="B24" s="9" t="str">
        <f ca="1">RTD("tt.rtd",,"Inst",$B$1,$A24)</f>
        <v>13485638123576588832</v>
      </c>
      <c r="C24" s="10" t="str">
        <f ca="1">MID(RTD("tt.rtd",,$B24,C$2),7,1)&amp;MID(RTD("tt.rtd",,$B24,C$2),11,1)</f>
        <v>M1</v>
      </c>
      <c r="D24" s="10" t="str">
        <f ca="1">RTD("tt.rtd",,$B24,D$2)</f>
        <v>"services.rtd.subscriptionError"</v>
      </c>
      <c r="E24" s="10" t="str">
        <f ca="1">RTD("tt.rtd",,$B24,E$2)</f>
        <v>"services.rtd.subscriptionError"</v>
      </c>
      <c r="F24" s="10" t="str">
        <f ca="1">RTD("tt.rtd",,$B24,F$2)</f>
        <v>"services.rtd.subscriptionError"</v>
      </c>
      <c r="G24" s="10" t="str">
        <f ca="1">RTD("tt.rtd",,$B24,G$2)</f>
        <v>"services.rtd.subscriptionError"</v>
      </c>
      <c r="H24" s="10" t="str">
        <f ca="1">RTD("tt.rtd",,$B24,H$2)</f>
        <v>"services.rtd.subscriptionError"</v>
      </c>
      <c r="I24" s="10" t="str">
        <f ca="1">RTD("tt.rtd",,$B24,I$2)</f>
        <v>"services.rtd.subscriptionError"</v>
      </c>
      <c r="J24" s="10" t="str">
        <f ca="1">RTD("tt.rtd",,$B24,J$2)</f>
        <v>"services.rtd.subscriptionError"</v>
      </c>
      <c r="K24" s="5" t="str">
        <f t="shared" ca="1" si="0"/>
        <v>"services.rtd.subscriptionError"</v>
      </c>
      <c r="L24" s="5" t="str">
        <f t="shared" ca="1" si="1"/>
        <v>"services.rtd.subscriptionError"</v>
      </c>
    </row>
    <row r="25" spans="1:12" x14ac:dyDescent="0.25">
      <c r="A25" s="11" t="str">
        <f ca="1">$A$2&amp;"   FM"&amp;LEFT('cont list_bg'!C28,1)&amp;"00"&amp;RIGHT('cont list_bg'!C28,2)&amp;"!"</f>
        <v>I   FMU0031!</v>
      </c>
      <c r="B25" s="9" t="str">
        <f ca="1">RTD("tt.rtd",,"Inst",$B$1,$A25)</f>
        <v>2999253133876982849</v>
      </c>
      <c r="C25" s="10" t="str">
        <f ca="1">MID(RTD("tt.rtd",,$B25,C$2),7,1)&amp;MID(RTD("tt.rtd",,$B25,C$2),11,1)</f>
        <v>U1</v>
      </c>
      <c r="D25" s="10" t="str">
        <f ca="1">RTD("tt.rtd",,$B25,D$2)</f>
        <v>"services.rtd.subscriptionError"</v>
      </c>
      <c r="E25" s="10" t="str">
        <f ca="1">RTD("tt.rtd",,$B25,E$2)</f>
        <v>"services.rtd.subscriptionError"</v>
      </c>
      <c r="F25" s="10" t="str">
        <f ca="1">RTD("tt.rtd",,$B25,F$2)</f>
        <v>"services.rtd.subscriptionError"</v>
      </c>
      <c r="G25" s="10" t="str">
        <f ca="1">RTD("tt.rtd",,$B25,G$2)</f>
        <v>"services.rtd.subscriptionError"</v>
      </c>
      <c r="H25" s="10" t="str">
        <f ca="1">RTD("tt.rtd",,$B25,H$2)</f>
        <v>"services.rtd.subscriptionError"</v>
      </c>
      <c r="I25" s="10" t="str">
        <f ca="1">RTD("tt.rtd",,$B25,I$2)</f>
        <v>"services.rtd.subscriptionError"</v>
      </c>
      <c r="J25" s="10" t="str">
        <f ca="1">RTD("tt.rtd",,$B25,J$2)</f>
        <v>"services.rtd.subscriptionError"</v>
      </c>
      <c r="K25" s="5" t="str">
        <f t="shared" ca="1" si="0"/>
        <v>"services.rtd.subscriptionError"</v>
      </c>
      <c r="L25" s="5" t="str">
        <f t="shared" ca="1" si="1"/>
        <v>"services.rtd.subscriptionError"</v>
      </c>
    </row>
    <row r="26" spans="1:12" x14ac:dyDescent="0.25">
      <c r="A26" s="11" t="str">
        <f ca="1">$A$2&amp;"   FM"&amp;LEFT('cont list_bg'!C29,1)&amp;"00"&amp;RIGHT('cont list_bg'!C29,2)&amp;"!"</f>
        <v>I   FMZ0031!</v>
      </c>
      <c r="B26" s="9" t="str">
        <f ca="1">RTD("tt.rtd",,"Inst",$B$1,$A26)</f>
        <v>11911434118028235803</v>
      </c>
      <c r="C26" s="10" t="str">
        <f ca="1">MID(RTD("tt.rtd",,$B26,C$2),7,1)&amp;MID(RTD("tt.rtd",,$B26,C$2),11,1)</f>
        <v>Z1</v>
      </c>
      <c r="D26" s="10" t="str">
        <f ca="1">RTD("tt.rtd",,$B26,D$2)</f>
        <v>"services.rtd.subscriptionError"</v>
      </c>
      <c r="E26" s="10" t="str">
        <f ca="1">RTD("tt.rtd",,$B26,E$2)</f>
        <v>"services.rtd.subscriptionError"</v>
      </c>
      <c r="F26" s="10" t="str">
        <f ca="1">RTD("tt.rtd",,$B26,F$2)</f>
        <v>"services.rtd.subscriptionError"</v>
      </c>
      <c r="G26" s="10" t="str">
        <f ca="1">RTD("tt.rtd",,$B26,G$2)</f>
        <v>"services.rtd.subscriptionError"</v>
      </c>
      <c r="H26" s="10" t="str">
        <f ca="1">RTD("tt.rtd",,$B26,H$2)</f>
        <v>"services.rtd.subscriptionError"</v>
      </c>
      <c r="I26" s="10" t="str">
        <f ca="1">RTD("tt.rtd",,$B26,I$2)</f>
        <v>"services.rtd.subscriptionError"</v>
      </c>
      <c r="J26" s="10" t="str">
        <f ca="1">RTD("tt.rtd",,$B26,J$2)</f>
        <v>"services.rtd.subscriptionError"</v>
      </c>
      <c r="K26" s="5" t="str">
        <f t="shared" ca="1" si="0"/>
        <v>"services.rtd.subscriptionError"</v>
      </c>
      <c r="L26" s="5" t="str">
        <f t="shared" ca="1" si="1"/>
        <v>"services.rtd.subscriptionError"</v>
      </c>
    </row>
    <row r="27" spans="1:12" x14ac:dyDescent="0.25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5"/>
      <c r="L27" s="5"/>
    </row>
    <row r="28" spans="1:12" x14ac:dyDescent="0.25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5"/>
      <c r="L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16E1-E2A5-4A3C-B193-216B5F66EAA4}">
  <dimension ref="A1:X44"/>
  <sheetViews>
    <sheetView workbookViewId="0">
      <selection activeCell="A16" sqref="A16"/>
    </sheetView>
  </sheetViews>
  <sheetFormatPr defaultRowHeight="15" x14ac:dyDescent="0.25"/>
  <cols>
    <col min="3" max="3" width="9.42578125" customWidth="1"/>
  </cols>
  <sheetData>
    <row r="1" spans="1:24" s="22" customFormat="1" x14ac:dyDescent="0.25">
      <c r="A1" s="22" t="s">
        <v>83</v>
      </c>
      <c r="B1" s="23" t="s">
        <v>92</v>
      </c>
      <c r="C1" s="23"/>
      <c r="K1" s="24"/>
      <c r="L1" s="24"/>
    </row>
    <row r="2" spans="1:24" s="1" customFormat="1" x14ac:dyDescent="0.25">
      <c r="A2" s="25" t="s">
        <v>83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24" x14ac:dyDescent="0.25">
      <c r="A3" s="11" t="str">
        <f ca="1">$A$2&amp;" FM"&amp;LEFT('cont list_bg'!G6,1)&amp;"00"&amp;RIGHT('cont list_bg'!G6,2)&amp;"!"</f>
        <v>SO3 FMH0026!</v>
      </c>
      <c r="B3" s="9" t="str">
        <f ca="1">RTD("tt.rtd",,"Inst",$B$1,$A3)</f>
        <v>1000973058687712295</v>
      </c>
      <c r="C3" s="10" t="str">
        <f ca="1">MID(RTD("tt.rtd",,$B3,C$2),7,1)&amp;MID(RTD("tt.rtd",,$B3,C$2),11,1)</f>
        <v>H6</v>
      </c>
      <c r="D3" s="10" t="str">
        <f ca="1">RTD("tt.rtd",,$B3,D$2)</f>
        <v>"services.rtd.subscriptionError"</v>
      </c>
      <c r="E3" s="10" t="str">
        <f ca="1">RTD("tt.rtd",,$B3,E$2)</f>
        <v>"services.rtd.subscriptionError"</v>
      </c>
      <c r="F3" s="10" t="str">
        <f ca="1">RTD("tt.rtd",,$B3,F$2)</f>
        <v>"services.rtd.subscriptionError"</v>
      </c>
      <c r="G3" s="10" t="str">
        <f ca="1">RTD("tt.rtd",,$B3,G$2)</f>
        <v>"services.rtd.subscriptionError"</v>
      </c>
      <c r="H3" s="10" t="str">
        <f ca="1">RTD("tt.rtd",,$B3,H$2)</f>
        <v>"services.rtd.subscriptionError"</v>
      </c>
      <c r="I3" s="10" t="str">
        <f ca="1">RTD("tt.rtd",,$B3,I$2)</f>
        <v>"services.rtd.subscriptionError"</v>
      </c>
      <c r="J3" s="10" t="str">
        <f ca="1">RTD("tt.rtd",,$B3,J$2)</f>
        <v>"services.rtd.subscriptionError"</v>
      </c>
      <c r="K3" s="5" t="str">
        <f t="shared" ref="K3:K27" ca="1" si="0">IFERROR(IF(I3="Open",(E3+D3)/2,H3),H3)</f>
        <v>"services.rtd.subscriptionError"</v>
      </c>
      <c r="L3" s="5" t="str">
        <f t="shared" ref="L3:L27" ca="1" si="1">IF(AND(I3="Open",G3&gt;0),F3,K3)</f>
        <v>"services.rtd.subscriptionError"</v>
      </c>
      <c r="M3" s="27"/>
      <c r="Q3" s="5"/>
      <c r="R3" s="5"/>
      <c r="S3" s="5"/>
      <c r="T3" s="5"/>
      <c r="U3" s="5"/>
      <c r="V3" s="5"/>
      <c r="W3" s="5"/>
      <c r="X3" s="5"/>
    </row>
    <row r="4" spans="1:24" x14ac:dyDescent="0.25">
      <c r="A4" s="11" t="str">
        <f ca="1">$A$2&amp;" FM"&amp;LEFT('cont list_bg'!G7,1)&amp;"00"&amp;RIGHT('cont list_bg'!G7,2)&amp;"!"</f>
        <v>SO3 FMM0026!</v>
      </c>
      <c r="B4" s="9" t="str">
        <f ca="1">RTD("tt.rtd",,"Inst",$B$1,$A4)</f>
        <v>17388498933531365606</v>
      </c>
      <c r="C4" s="10" t="str">
        <f ca="1">MID(RTD("tt.rtd",,$B4,C$2),7,1)&amp;MID(RTD("tt.rtd",,$B4,C$2),11,1)</f>
        <v>M6</v>
      </c>
      <c r="D4" s="10" t="str">
        <f ca="1">RTD("tt.rtd",,$B4,D$2)</f>
        <v>"services.rtd.subscriptionError"</v>
      </c>
      <c r="E4" s="10" t="str">
        <f ca="1">RTD("tt.rtd",,$B4,E$2)</f>
        <v>"services.rtd.subscriptionError"</v>
      </c>
      <c r="F4" s="10" t="str">
        <f ca="1">RTD("tt.rtd",,$B4,F$2)</f>
        <v>"services.rtd.subscriptionError"</v>
      </c>
      <c r="G4" s="10" t="str">
        <f ca="1">RTD("tt.rtd",,$B4,G$2)</f>
        <v>"services.rtd.subscriptionError"</v>
      </c>
      <c r="H4" s="10" t="str">
        <f ca="1">RTD("tt.rtd",,$B4,H$2)</f>
        <v>"services.rtd.subscriptionError"</v>
      </c>
      <c r="I4" s="10" t="str">
        <f ca="1">RTD("tt.rtd",,$B4,I$2)</f>
        <v>"services.rtd.subscriptionError"</v>
      </c>
      <c r="J4" s="10" t="str">
        <f ca="1">RTD("tt.rtd",,$B4,J$2)</f>
        <v>"services.rtd.subscriptionError"</v>
      </c>
      <c r="K4" s="5" t="str">
        <f t="shared" ca="1" si="0"/>
        <v>"services.rtd.subscriptionError"</v>
      </c>
      <c r="L4" s="5" t="str">
        <f t="shared" ca="1" si="1"/>
        <v>"services.rtd.subscriptionError"</v>
      </c>
      <c r="Q4" s="5"/>
      <c r="R4" s="5"/>
      <c r="S4" s="5"/>
      <c r="T4" s="5"/>
      <c r="U4" s="5"/>
      <c r="V4" s="5"/>
      <c r="W4" s="5"/>
      <c r="X4" s="5"/>
    </row>
    <row r="5" spans="1:24" x14ac:dyDescent="0.25">
      <c r="A5" s="11" t="str">
        <f ca="1">$A$2&amp;" FM"&amp;LEFT('cont list_bg'!G8,1)&amp;"00"&amp;RIGHT('cont list_bg'!G8,2)&amp;"!"</f>
        <v>SO3 FMU0026!</v>
      </c>
      <c r="B5" s="9" t="str">
        <f ca="1">RTD("tt.rtd",,"Inst",$B$1,$A5)</f>
        <v>14330867541177216896</v>
      </c>
      <c r="C5" s="10" t="str">
        <f ca="1">MID(RTD("tt.rtd",,$B5,C$2),7,1)&amp;MID(RTD("tt.rtd",,$B5,C$2),11,1)</f>
        <v>U6</v>
      </c>
      <c r="D5" s="10" t="str">
        <f ca="1">RTD("tt.rtd",,$B5,D$2)</f>
        <v>"services.rtd.subscriptionError"</v>
      </c>
      <c r="E5" s="10" t="str">
        <f ca="1">RTD("tt.rtd",,$B5,E$2)</f>
        <v>"services.rtd.subscriptionError"</v>
      </c>
      <c r="F5" s="10" t="str">
        <f ca="1">RTD("tt.rtd",,$B5,F$2)</f>
        <v>"services.rtd.subscriptionError"</v>
      </c>
      <c r="G5" s="10" t="str">
        <f ca="1">RTD("tt.rtd",,$B5,G$2)</f>
        <v>"services.rtd.subscriptionError"</v>
      </c>
      <c r="H5" s="10" t="str">
        <f ca="1">RTD("tt.rtd",,$B5,H$2)</f>
        <v>"services.rtd.subscriptionError"</v>
      </c>
      <c r="I5" s="10" t="str">
        <f ca="1">RTD("tt.rtd",,$B5,I$2)</f>
        <v>"services.rtd.subscriptionError"</v>
      </c>
      <c r="J5" s="10" t="str">
        <f ca="1">RTD("tt.rtd",,$B5,J$2)</f>
        <v>"services.rtd.subscriptionError"</v>
      </c>
      <c r="K5" s="5" t="str">
        <f t="shared" ca="1" si="0"/>
        <v>"services.rtd.subscriptionError"</v>
      </c>
      <c r="L5" s="5" t="str">
        <f t="shared" ca="1" si="1"/>
        <v>"services.rtd.subscriptionError"</v>
      </c>
      <c r="Q5" s="5"/>
      <c r="R5" s="5"/>
      <c r="S5" s="5"/>
      <c r="T5" s="5"/>
      <c r="U5" s="5"/>
      <c r="V5" s="5"/>
      <c r="W5" s="5"/>
      <c r="X5" s="5"/>
    </row>
    <row r="6" spans="1:24" x14ac:dyDescent="0.25">
      <c r="A6" s="11" t="str">
        <f ca="1">$A$2&amp;" FM"&amp;LEFT('cont list_bg'!G9,1)&amp;"00"&amp;RIGHT('cont list_bg'!G9,2)&amp;"!"</f>
        <v>SO3 FMZ0026!</v>
      </c>
      <c r="B6" s="9" t="str">
        <f ca="1">RTD("tt.rtd",,"Inst",$B$1,$A6)</f>
        <v>2929215027186538641</v>
      </c>
      <c r="C6" s="10" t="str">
        <f ca="1">MID(RTD("tt.rtd",,$B6,C$2),7,1)&amp;MID(RTD("tt.rtd",,$B6,C$2),11,1)</f>
        <v>Z6</v>
      </c>
      <c r="D6" s="10" t="str">
        <f ca="1">RTD("tt.rtd",,$B6,D$2)</f>
        <v>"services.rtd.subscriptionError"</v>
      </c>
      <c r="E6" s="10" t="str">
        <f ca="1">RTD("tt.rtd",,$B6,E$2)</f>
        <v>"services.rtd.subscriptionError"</v>
      </c>
      <c r="F6" s="10" t="str">
        <f ca="1">RTD("tt.rtd",,$B6,F$2)</f>
        <v>"services.rtd.subscriptionError"</v>
      </c>
      <c r="G6" s="10" t="str">
        <f ca="1">RTD("tt.rtd",,$B6,G$2)</f>
        <v>"services.rtd.subscriptionError"</v>
      </c>
      <c r="H6" s="10" t="str">
        <f ca="1">RTD("tt.rtd",,$B6,H$2)</f>
        <v>"services.rtd.subscriptionError"</v>
      </c>
      <c r="I6" s="10" t="str">
        <f ca="1">RTD("tt.rtd",,$B6,I$2)</f>
        <v>"services.rtd.subscriptionError"</v>
      </c>
      <c r="J6" s="10" t="str">
        <f ca="1">RTD("tt.rtd",,$B6,J$2)</f>
        <v>"services.rtd.subscriptionError"</v>
      </c>
      <c r="K6" s="5" t="str">
        <f t="shared" ca="1" si="0"/>
        <v>"services.rtd.subscriptionError"</v>
      </c>
      <c r="L6" s="5" t="str">
        <f t="shared" ca="1" si="1"/>
        <v>"services.rtd.subscriptionError"</v>
      </c>
      <c r="Q6" s="5"/>
      <c r="R6" s="5"/>
      <c r="S6" s="5"/>
      <c r="T6" s="5"/>
      <c r="U6" s="5"/>
      <c r="V6" s="5"/>
      <c r="W6" s="5"/>
      <c r="X6" s="5"/>
    </row>
    <row r="7" spans="1:24" x14ac:dyDescent="0.25">
      <c r="A7" s="11" t="str">
        <f ca="1">$A$2&amp;" FM"&amp;LEFT('cont list_bg'!G10,1)&amp;"00"&amp;RIGHT('cont list_bg'!G10,2)&amp;"!"</f>
        <v>SO3 FMH0027!</v>
      </c>
      <c r="B7" s="9" t="str">
        <f ca="1">RTD("tt.rtd",,"Inst",$B$1,$A7)</f>
        <v>12777480240935901350</v>
      </c>
      <c r="C7" s="10" t="str">
        <f ca="1">MID(RTD("tt.rtd",,$B7,C$2),7,1)&amp;MID(RTD("tt.rtd",,$B7,C$2),11,1)</f>
        <v>H7</v>
      </c>
      <c r="D7" s="10" t="str">
        <f ca="1">RTD("tt.rtd",,$B7,D$2)</f>
        <v>"services.rtd.subscriptionError"</v>
      </c>
      <c r="E7" s="10" t="str">
        <f ca="1">RTD("tt.rtd",,$B7,E$2)</f>
        <v>"services.rtd.subscriptionError"</v>
      </c>
      <c r="F7" s="10" t="str">
        <f ca="1">RTD("tt.rtd",,$B7,F$2)</f>
        <v>"services.rtd.subscriptionError"</v>
      </c>
      <c r="G7" s="10" t="str">
        <f ca="1">RTD("tt.rtd",,$B7,G$2)</f>
        <v>"services.rtd.subscriptionError"</v>
      </c>
      <c r="H7" s="10" t="str">
        <f ca="1">RTD("tt.rtd",,$B7,H$2)</f>
        <v>"services.rtd.subscriptionError"</v>
      </c>
      <c r="I7" s="10" t="str">
        <f ca="1">RTD("tt.rtd",,$B7,I$2)</f>
        <v>"services.rtd.subscriptionError"</v>
      </c>
      <c r="J7" s="10" t="str">
        <f ca="1">RTD("tt.rtd",,$B7,J$2)</f>
        <v>"services.rtd.subscriptionError"</v>
      </c>
      <c r="K7" s="5" t="str">
        <f t="shared" ca="1" si="0"/>
        <v>"services.rtd.subscriptionError"</v>
      </c>
      <c r="L7" s="5" t="str">
        <f t="shared" ca="1" si="1"/>
        <v>"services.rtd.subscriptionError"</v>
      </c>
      <c r="Q7" s="5"/>
      <c r="R7" s="5"/>
      <c r="S7" s="5"/>
      <c r="T7" s="5"/>
      <c r="U7" s="5"/>
      <c r="V7" s="5"/>
      <c r="W7" s="5"/>
      <c r="X7" s="5"/>
    </row>
    <row r="8" spans="1:24" x14ac:dyDescent="0.25">
      <c r="A8" s="11" t="str">
        <f ca="1">$A$2&amp;" FM"&amp;LEFT('cont list_bg'!G11,1)&amp;"00"&amp;RIGHT('cont list_bg'!G11,2)&amp;"!"</f>
        <v>SO3 FMM0027!</v>
      </c>
      <c r="B8" s="9" t="str">
        <f ca="1">RTD("tt.rtd",,"Inst",$B$1,$A8)</f>
        <v>17489439929274896309</v>
      </c>
      <c r="C8" s="10" t="str">
        <f ca="1">MID(RTD("tt.rtd",,$B8,C$2),7,1)&amp;MID(RTD("tt.rtd",,$B8,C$2),11,1)</f>
        <v>M7</v>
      </c>
      <c r="D8" s="10" t="str">
        <f ca="1">RTD("tt.rtd",,$B8,D$2)</f>
        <v>"services.rtd.subscriptionError"</v>
      </c>
      <c r="E8" s="10" t="str">
        <f ca="1">RTD("tt.rtd",,$B8,E$2)</f>
        <v>"services.rtd.subscriptionError"</v>
      </c>
      <c r="F8" s="10" t="str">
        <f ca="1">RTD("tt.rtd",,$B8,F$2)</f>
        <v>"services.rtd.subscriptionError"</v>
      </c>
      <c r="G8" s="10" t="str">
        <f ca="1">RTD("tt.rtd",,$B8,G$2)</f>
        <v>"services.rtd.subscriptionError"</v>
      </c>
      <c r="H8" s="10" t="str">
        <f ca="1">RTD("tt.rtd",,$B8,H$2)</f>
        <v>"services.rtd.subscriptionError"</v>
      </c>
      <c r="I8" s="10" t="str">
        <f ca="1">RTD("tt.rtd",,$B8,I$2)</f>
        <v>"services.rtd.subscriptionError"</v>
      </c>
      <c r="J8" s="10" t="str">
        <f ca="1">RTD("tt.rtd",,$B8,J$2)</f>
        <v>"services.rtd.subscriptionError"</v>
      </c>
      <c r="K8" s="5" t="str">
        <f t="shared" ca="1" si="0"/>
        <v>"services.rtd.subscriptionError"</v>
      </c>
      <c r="L8" s="5" t="str">
        <f t="shared" ca="1" si="1"/>
        <v>"services.rtd.subscriptionError"</v>
      </c>
      <c r="Q8" s="5"/>
      <c r="R8" s="5"/>
      <c r="S8" s="5"/>
      <c r="T8" s="5"/>
      <c r="U8" s="5"/>
      <c r="V8" s="5"/>
      <c r="W8" s="5"/>
      <c r="X8" s="5"/>
    </row>
    <row r="9" spans="1:24" x14ac:dyDescent="0.25">
      <c r="A9" s="11" t="str">
        <f ca="1">$A$2&amp;" FM"&amp;LEFT('cont list_bg'!G12,1)&amp;"00"&amp;RIGHT('cont list_bg'!G12,2)&amp;"!"</f>
        <v>SO3 FMU0027!</v>
      </c>
      <c r="B9" s="9" t="str">
        <f ca="1">RTD("tt.rtd",,"Inst",$B$1,$A9)</f>
        <v>13124315370012665646</v>
      </c>
      <c r="C9" s="10" t="str">
        <f ca="1">MID(RTD("tt.rtd",,$B9,C$2),7,1)&amp;MID(RTD("tt.rtd",,$B9,C$2),11,1)</f>
        <v>U7</v>
      </c>
      <c r="D9" s="10" t="str">
        <f ca="1">RTD("tt.rtd",,$B9,D$2)</f>
        <v>"services.rtd.subscriptionError"</v>
      </c>
      <c r="E9" s="10" t="str">
        <f ca="1">RTD("tt.rtd",,$B9,E$2)</f>
        <v>"services.rtd.subscriptionError"</v>
      </c>
      <c r="F9" s="10" t="str">
        <f ca="1">RTD("tt.rtd",,$B9,F$2)</f>
        <v>"services.rtd.subscriptionError"</v>
      </c>
      <c r="G9" s="10" t="str">
        <f ca="1">RTD("tt.rtd",,$B9,G$2)</f>
        <v>"services.rtd.subscriptionError"</v>
      </c>
      <c r="H9" s="10" t="str">
        <f ca="1">RTD("tt.rtd",,$B9,H$2)</f>
        <v>"services.rtd.subscriptionError"</v>
      </c>
      <c r="I9" s="10" t="str">
        <f ca="1">RTD("tt.rtd",,$B9,I$2)</f>
        <v>"services.rtd.subscriptionError"</v>
      </c>
      <c r="J9" s="10" t="str">
        <f ca="1">RTD("tt.rtd",,$B9,J$2)</f>
        <v>"services.rtd.subscriptionError"</v>
      </c>
      <c r="K9" s="5" t="str">
        <f t="shared" ca="1" si="0"/>
        <v>"services.rtd.subscriptionError"</v>
      </c>
      <c r="L9" s="5" t="str">
        <f t="shared" ca="1" si="1"/>
        <v>"services.rtd.subscriptionError"</v>
      </c>
      <c r="Q9" s="5"/>
      <c r="R9" s="5"/>
      <c r="S9" s="5"/>
      <c r="T9" s="5"/>
      <c r="U9" s="5"/>
      <c r="V9" s="5"/>
      <c r="W9" s="5"/>
      <c r="X9" s="5"/>
    </row>
    <row r="10" spans="1:24" x14ac:dyDescent="0.25">
      <c r="A10" s="11" t="str">
        <f ca="1">$A$2&amp;" FM"&amp;LEFT('cont list_bg'!G13,1)&amp;"00"&amp;RIGHT('cont list_bg'!G13,2)&amp;"!"</f>
        <v>SO3 FMZ0027!</v>
      </c>
      <c r="B10" s="9" t="str">
        <f ca="1">RTD("tt.rtd",,"Inst",$B$1,$A10)</f>
        <v>6883681751251454284</v>
      </c>
      <c r="C10" s="10" t="str">
        <f ca="1">MID(RTD("tt.rtd",,$B10,C$2),7,1)&amp;MID(RTD("tt.rtd",,$B10,C$2),11,1)</f>
        <v>Z7</v>
      </c>
      <c r="D10" s="10" t="str">
        <f ca="1">RTD("tt.rtd",,$B10,D$2)</f>
        <v>"services.rtd.subscriptionError"</v>
      </c>
      <c r="E10" s="10" t="str">
        <f ca="1">RTD("tt.rtd",,$B10,E$2)</f>
        <v>"services.rtd.subscriptionError"</v>
      </c>
      <c r="F10" s="10" t="str">
        <f ca="1">RTD("tt.rtd",,$B10,F$2)</f>
        <v>"services.rtd.subscriptionError"</v>
      </c>
      <c r="G10" s="10" t="str">
        <f ca="1">RTD("tt.rtd",,$B10,G$2)</f>
        <v>"services.rtd.subscriptionError"</v>
      </c>
      <c r="H10" s="10" t="str">
        <f ca="1">RTD("tt.rtd",,$B10,H$2)</f>
        <v>"services.rtd.subscriptionError"</v>
      </c>
      <c r="I10" s="10" t="str">
        <f ca="1">RTD("tt.rtd",,$B10,I$2)</f>
        <v>"services.rtd.subscriptionError"</v>
      </c>
      <c r="J10" s="10" t="str">
        <f ca="1">RTD("tt.rtd",,$B10,J$2)</f>
        <v>"services.rtd.subscriptionError"</v>
      </c>
      <c r="K10" s="5" t="str">
        <f t="shared" ca="1" si="0"/>
        <v>"services.rtd.subscriptionError"</v>
      </c>
      <c r="L10" s="5" t="str">
        <f t="shared" ca="1" si="1"/>
        <v>"services.rtd.subscriptionError"</v>
      </c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11" t="str">
        <f ca="1">$A$2&amp;" FM"&amp;LEFT('cont list_bg'!G14,1)&amp;"00"&amp;RIGHT('cont list_bg'!G14,2)&amp;"!"</f>
        <v>SO3 FMH0028!</v>
      </c>
      <c r="B11" s="9" t="str">
        <f ca="1">RTD("tt.rtd",,"Inst",$B$1,$A11)</f>
        <v>4771138968527992296</v>
      </c>
      <c r="C11" s="10" t="str">
        <f ca="1">MID(RTD("tt.rtd",,$B11,C$2),7,1)&amp;MID(RTD("tt.rtd",,$B11,C$2),11,1)</f>
        <v>H8</v>
      </c>
      <c r="D11" s="10" t="str">
        <f ca="1">RTD("tt.rtd",,$B11,D$2)</f>
        <v>"services.rtd.subscriptionError"</v>
      </c>
      <c r="E11" s="10" t="str">
        <f ca="1">RTD("tt.rtd",,$B11,E$2)</f>
        <v>"services.rtd.subscriptionError"</v>
      </c>
      <c r="F11" s="10" t="str">
        <f ca="1">RTD("tt.rtd",,$B11,F$2)</f>
        <v>"services.rtd.subscriptionError"</v>
      </c>
      <c r="G11" s="10" t="str">
        <f ca="1">RTD("tt.rtd",,$B11,G$2)</f>
        <v>"services.rtd.subscriptionError"</v>
      </c>
      <c r="H11" s="10" t="str">
        <f ca="1">RTD("tt.rtd",,$B11,H$2)</f>
        <v>"services.rtd.subscriptionError"</v>
      </c>
      <c r="I11" s="10" t="str">
        <f ca="1">RTD("tt.rtd",,$B11,I$2)</f>
        <v>"services.rtd.subscriptionError"</v>
      </c>
      <c r="J11" s="10" t="str">
        <f ca="1">RTD("tt.rtd",,$B11,J$2)</f>
        <v>"services.rtd.subscriptionError"</v>
      </c>
      <c r="K11" s="5" t="str">
        <f t="shared" ca="1" si="0"/>
        <v>"services.rtd.subscriptionError"</v>
      </c>
      <c r="L11" s="5" t="str">
        <f t="shared" ca="1" si="1"/>
        <v>"services.rtd.subscriptionError"</v>
      </c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11" t="str">
        <f ca="1">$A$2&amp;" FM"&amp;LEFT('cont list_bg'!G15,1)&amp;"00"&amp;RIGHT('cont list_bg'!G15,2)&amp;"!"</f>
        <v>SO3 FMM0028!</v>
      </c>
      <c r="B12" s="9" t="str">
        <f ca="1">RTD("tt.rtd",,"Inst",$B$1,$A12)</f>
        <v>1778338967582843813</v>
      </c>
      <c r="C12" s="10" t="str">
        <f ca="1">MID(RTD("tt.rtd",,$B12,C$2),7,1)&amp;MID(RTD("tt.rtd",,$B12,C$2),11,1)</f>
        <v>M8</v>
      </c>
      <c r="D12" s="10" t="str">
        <f ca="1">RTD("tt.rtd",,$B12,D$2)</f>
        <v>"services.rtd.subscriptionError"</v>
      </c>
      <c r="E12" s="10" t="str">
        <f ca="1">RTD("tt.rtd",,$B12,E$2)</f>
        <v>"services.rtd.subscriptionError"</v>
      </c>
      <c r="F12" s="10" t="str">
        <f ca="1">RTD("tt.rtd",,$B12,F$2)</f>
        <v>"services.rtd.subscriptionError"</v>
      </c>
      <c r="G12" s="10" t="str">
        <f ca="1">RTD("tt.rtd",,$B12,G$2)</f>
        <v>"services.rtd.subscriptionError"</v>
      </c>
      <c r="H12" s="10" t="str">
        <f ca="1">RTD("tt.rtd",,$B12,H$2)</f>
        <v>"services.rtd.subscriptionError"</v>
      </c>
      <c r="I12" s="10" t="str">
        <f ca="1">RTD("tt.rtd",,$B12,I$2)</f>
        <v>"services.rtd.subscriptionError"</v>
      </c>
      <c r="J12" s="10" t="str">
        <f ca="1">RTD("tt.rtd",,$B12,J$2)</f>
        <v>"services.rtd.subscriptionError"</v>
      </c>
      <c r="K12" s="5" t="str">
        <f t="shared" ca="1" si="0"/>
        <v>"services.rtd.subscriptionError"</v>
      </c>
      <c r="L12" s="5" t="str">
        <f t="shared" ca="1" si="1"/>
        <v>"services.rtd.subscriptionError"</v>
      </c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11" t="str">
        <f ca="1">$A$2&amp;" FM"&amp;LEFT('cont list_bg'!G16,1)&amp;"00"&amp;RIGHT('cont list_bg'!G16,2)&amp;"!"</f>
        <v>SO3 FMU0028!</v>
      </c>
      <c r="B13" s="9" t="str">
        <f ca="1">RTD("tt.rtd",,"Inst",$B$1,$A13)</f>
        <v>13553073652848841644</v>
      </c>
      <c r="C13" s="10" t="str">
        <f ca="1">MID(RTD("tt.rtd",,$B13,C$2),7,1)&amp;MID(RTD("tt.rtd",,$B13,C$2),11,1)</f>
        <v>U8</v>
      </c>
      <c r="D13" s="10" t="str">
        <f ca="1">RTD("tt.rtd",,$B13,D$2)</f>
        <v>"services.rtd.subscriptionError"</v>
      </c>
      <c r="E13" s="10" t="str">
        <f ca="1">RTD("tt.rtd",,$B13,E$2)</f>
        <v>"services.rtd.subscriptionError"</v>
      </c>
      <c r="F13" s="10" t="str">
        <f ca="1">RTD("tt.rtd",,$B13,F$2)</f>
        <v>"services.rtd.subscriptionError"</v>
      </c>
      <c r="G13" s="10" t="str">
        <f ca="1">RTD("tt.rtd",,$B13,G$2)</f>
        <v>"services.rtd.subscriptionError"</v>
      </c>
      <c r="H13" s="10" t="str">
        <f ca="1">RTD("tt.rtd",,$B13,H$2)</f>
        <v>"services.rtd.subscriptionError"</v>
      </c>
      <c r="I13" s="10" t="str">
        <f ca="1">RTD("tt.rtd",,$B13,I$2)</f>
        <v>"services.rtd.subscriptionError"</v>
      </c>
      <c r="J13" s="10" t="str">
        <f ca="1">RTD("tt.rtd",,$B13,J$2)</f>
        <v>"services.rtd.subscriptionError"</v>
      </c>
      <c r="K13" s="5" t="str">
        <f t="shared" ca="1" si="0"/>
        <v>"services.rtd.subscriptionError"</v>
      </c>
      <c r="L13" s="5" t="str">
        <f t="shared" ca="1" si="1"/>
        <v>"services.rtd.subscriptionError"</v>
      </c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11" t="str">
        <f ca="1">$A$2&amp;" FM"&amp;LEFT('cont list_bg'!G17,1)&amp;"00"&amp;RIGHT('cont list_bg'!G17,2)&amp;"!"</f>
        <v>SO3 FMZ0028!</v>
      </c>
      <c r="B14" s="9" t="str">
        <f ca="1">RTD("tt.rtd",,"Inst",$B$1,$A14)</f>
        <v>12802673068039550141</v>
      </c>
      <c r="C14" s="10" t="str">
        <f ca="1">MID(RTD("tt.rtd",,$B14,C$2),7,1)&amp;MID(RTD("tt.rtd",,$B14,C$2),11,1)</f>
        <v>Z8</v>
      </c>
      <c r="D14" s="10" t="str">
        <f ca="1">RTD("tt.rtd",,$B14,D$2)</f>
        <v>"services.rtd.subscriptionError"</v>
      </c>
      <c r="E14" s="10" t="str">
        <f ca="1">RTD("tt.rtd",,$B14,E$2)</f>
        <v>"services.rtd.subscriptionError"</v>
      </c>
      <c r="F14" s="10" t="str">
        <f ca="1">RTD("tt.rtd",,$B14,F$2)</f>
        <v>"services.rtd.subscriptionError"</v>
      </c>
      <c r="G14" s="10" t="str">
        <f ca="1">RTD("tt.rtd",,$B14,G$2)</f>
        <v>"services.rtd.subscriptionError"</v>
      </c>
      <c r="H14" s="10" t="str">
        <f ca="1">RTD("tt.rtd",,$B14,H$2)</f>
        <v>"services.rtd.subscriptionError"</v>
      </c>
      <c r="I14" s="10" t="str">
        <f ca="1">RTD("tt.rtd",,$B14,I$2)</f>
        <v>"services.rtd.subscriptionError"</v>
      </c>
      <c r="J14" s="10" t="str">
        <f ca="1">RTD("tt.rtd",,$B14,J$2)</f>
        <v>"services.rtd.subscriptionError"</v>
      </c>
      <c r="K14" s="5" t="str">
        <f t="shared" ca="1" si="0"/>
        <v>"services.rtd.subscriptionError"</v>
      </c>
      <c r="L14" s="5" t="str">
        <f t="shared" ca="1" si="1"/>
        <v>"services.rtd.subscriptionError"</v>
      </c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11" t="str">
        <f ca="1">$A$2&amp;" FM"&amp;LEFT('cont list_bg'!G18,1)&amp;"00"&amp;RIGHT('cont list_bg'!G18,2)&amp;"!"</f>
        <v>SO3 FMH0029!</v>
      </c>
      <c r="B15" s="9" t="str">
        <f ca="1">RTD("tt.rtd",,"Inst",$B$1,$A15)</f>
        <v>14192579889497853292</v>
      </c>
      <c r="C15" s="10" t="str">
        <f ca="1">MID(RTD("tt.rtd",,$B15,C$2),7,1)&amp;MID(RTD("tt.rtd",,$B15,C$2),11,1)</f>
        <v>H9</v>
      </c>
      <c r="D15" s="10" t="str">
        <f ca="1">RTD("tt.rtd",,$B15,D$2)</f>
        <v>"services.rtd.subscriptionError"</v>
      </c>
      <c r="E15" s="10" t="str">
        <f ca="1">RTD("tt.rtd",,$B15,E$2)</f>
        <v>"services.rtd.subscriptionError"</v>
      </c>
      <c r="F15" s="10" t="str">
        <f ca="1">RTD("tt.rtd",,$B15,F$2)</f>
        <v>"services.rtd.subscriptionError"</v>
      </c>
      <c r="G15" s="10" t="str">
        <f ca="1">RTD("tt.rtd",,$B15,G$2)</f>
        <v>"services.rtd.subscriptionError"</v>
      </c>
      <c r="H15" s="10" t="str">
        <f ca="1">RTD("tt.rtd",,$B15,H$2)</f>
        <v>"services.rtd.subscriptionError"</v>
      </c>
      <c r="I15" s="10" t="str">
        <f ca="1">RTD("tt.rtd",,$B15,I$2)</f>
        <v>"services.rtd.subscriptionError"</v>
      </c>
      <c r="J15" s="10" t="str">
        <f ca="1">RTD("tt.rtd",,$B15,J$2)</f>
        <v>"services.rtd.subscriptionError"</v>
      </c>
      <c r="K15" s="5" t="str">
        <f t="shared" ca="1" si="0"/>
        <v>"services.rtd.subscriptionError"</v>
      </c>
      <c r="L15" s="5" t="str">
        <f t="shared" ca="1" si="1"/>
        <v>"services.rtd.subscriptionError"</v>
      </c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11" t="str">
        <f ca="1">$A$2&amp;" FM"&amp;LEFT('cont list_bg'!G19,1)&amp;"00"&amp;RIGHT('cont list_bg'!G19,2)&amp;"!"</f>
        <v>SO3 FMM0029!</v>
      </c>
      <c r="B16" s="9" t="str">
        <f ca="1">RTD("tt.rtd",,"Inst",$B$1,$A16)</f>
        <v>13656323332417174028</v>
      </c>
      <c r="C16" s="10" t="str">
        <f ca="1">MID(RTD("tt.rtd",,$B16,C$2),7,1)&amp;MID(RTD("tt.rtd",,$B16,C$2),11,1)</f>
        <v>M9</v>
      </c>
      <c r="D16" s="10" t="str">
        <f ca="1">RTD("tt.rtd",,$B16,D$2)</f>
        <v>"services.rtd.subscriptionError"</v>
      </c>
      <c r="E16" s="10" t="str">
        <f ca="1">RTD("tt.rtd",,$B16,E$2)</f>
        <v>"services.rtd.subscriptionError"</v>
      </c>
      <c r="F16" s="10" t="str">
        <f ca="1">RTD("tt.rtd",,$B16,F$2)</f>
        <v>"services.rtd.subscriptionError"</v>
      </c>
      <c r="G16" s="10" t="str">
        <f ca="1">RTD("tt.rtd",,$B16,G$2)</f>
        <v>"services.rtd.subscriptionError"</v>
      </c>
      <c r="H16" s="10" t="str">
        <f ca="1">RTD("tt.rtd",,$B16,H$2)</f>
        <v>"services.rtd.subscriptionError"</v>
      </c>
      <c r="I16" s="10" t="str">
        <f ca="1">RTD("tt.rtd",,$B16,I$2)</f>
        <v>"services.rtd.subscriptionError"</v>
      </c>
      <c r="J16" s="10" t="str">
        <f ca="1">RTD("tt.rtd",,$B16,J$2)</f>
        <v>"services.rtd.subscriptionError"</v>
      </c>
      <c r="K16" s="5" t="str">
        <f t="shared" ca="1" si="0"/>
        <v>"services.rtd.subscriptionError"</v>
      </c>
      <c r="L16" s="5" t="str">
        <f t="shared" ca="1" si="1"/>
        <v>"services.rtd.subscriptionError"</v>
      </c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11" t="str">
        <f ca="1">$A$2&amp;" FM"&amp;LEFT('cont list_bg'!G20,1)&amp;"00"&amp;RIGHT('cont list_bg'!G20,2)&amp;"!"</f>
        <v>SO3 FMU0029!</v>
      </c>
      <c r="B17" s="9" t="str">
        <f ca="1">RTD("tt.rtd",,"Inst",$B$1,$A17)</f>
        <v>15474919503937410045</v>
      </c>
      <c r="C17" s="10" t="str">
        <f ca="1">MID(RTD("tt.rtd",,$B17,C$2),7,1)&amp;MID(RTD("tt.rtd",,$B17,C$2),11,1)</f>
        <v>U9</v>
      </c>
      <c r="D17" s="10" t="str">
        <f ca="1">RTD("tt.rtd",,$B17,D$2)</f>
        <v>"services.rtd.subscriptionError"</v>
      </c>
      <c r="E17" s="10" t="str">
        <f ca="1">RTD("tt.rtd",,$B17,E$2)</f>
        <v>"services.rtd.subscriptionError"</v>
      </c>
      <c r="F17" s="10" t="str">
        <f ca="1">RTD("tt.rtd",,$B17,F$2)</f>
        <v>"services.rtd.subscriptionError"</v>
      </c>
      <c r="G17" s="10" t="str">
        <f ca="1">RTD("tt.rtd",,$B17,G$2)</f>
        <v>"services.rtd.subscriptionError"</v>
      </c>
      <c r="H17" s="10" t="str">
        <f ca="1">RTD("tt.rtd",,$B17,H$2)</f>
        <v>"services.rtd.subscriptionError"</v>
      </c>
      <c r="I17" s="10" t="str">
        <f ca="1">RTD("tt.rtd",,$B17,I$2)</f>
        <v>"services.rtd.subscriptionError"</v>
      </c>
      <c r="J17" s="10" t="str">
        <f ca="1">RTD("tt.rtd",,$B17,J$2)</f>
        <v>"services.rtd.subscriptionError"</v>
      </c>
      <c r="K17" s="5" t="str">
        <f t="shared" ca="1" si="0"/>
        <v>"services.rtd.subscriptionError"</v>
      </c>
      <c r="L17" s="5" t="str">
        <f t="shared" ca="1" si="1"/>
        <v>"services.rtd.subscriptionError"</v>
      </c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11" t="str">
        <f ca="1">$A$2&amp;" FM"&amp;LEFT('cont list_bg'!G21,1)&amp;"00"&amp;RIGHT('cont list_bg'!G21,2)&amp;"!"</f>
        <v>SO3 FMZ0029!</v>
      </c>
      <c r="B18" s="9" t="str">
        <f ca="1">RTD("tt.rtd",,"Inst",$B$1,$A18)</f>
        <v>16444027228601244617</v>
      </c>
      <c r="C18" s="10" t="str">
        <f ca="1">MID(RTD("tt.rtd",,$B18,C$2),7,1)&amp;MID(RTD("tt.rtd",,$B18,C$2),11,1)</f>
        <v>Z9</v>
      </c>
      <c r="D18" s="10" t="str">
        <f ca="1">RTD("tt.rtd",,$B18,D$2)</f>
        <v>"services.rtd.subscriptionError"</v>
      </c>
      <c r="E18" s="10" t="str">
        <f ca="1">RTD("tt.rtd",,$B18,E$2)</f>
        <v>"services.rtd.subscriptionError"</v>
      </c>
      <c r="F18" s="10" t="str">
        <f ca="1">RTD("tt.rtd",,$B18,F$2)</f>
        <v>"services.rtd.subscriptionError"</v>
      </c>
      <c r="G18" s="10" t="str">
        <f ca="1">RTD("tt.rtd",,$B18,G$2)</f>
        <v>"services.rtd.subscriptionError"</v>
      </c>
      <c r="H18" s="10" t="str">
        <f ca="1">RTD("tt.rtd",,$B18,H$2)</f>
        <v>"services.rtd.subscriptionError"</v>
      </c>
      <c r="I18" s="10" t="str">
        <f ca="1">RTD("tt.rtd",,$B18,I$2)</f>
        <v>"services.rtd.subscriptionError"</v>
      </c>
      <c r="J18" s="10" t="str">
        <f ca="1">RTD("tt.rtd",,$B18,J$2)</f>
        <v>"services.rtd.subscriptionError"</v>
      </c>
      <c r="K18" s="5" t="str">
        <f t="shared" ca="1" si="0"/>
        <v>"services.rtd.subscriptionError"</v>
      </c>
      <c r="L18" s="5" t="str">
        <f t="shared" ca="1" si="1"/>
        <v>"services.rtd.subscriptionError"</v>
      </c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11" t="str">
        <f ca="1">$A$2&amp;" FM"&amp;LEFT('cont list_bg'!G22,1)&amp;"00"&amp;RIGHT('cont list_bg'!G22,2)&amp;"!"</f>
        <v>SO3 FMH0030!</v>
      </c>
      <c r="B19" s="9" t="str">
        <f ca="1">RTD("tt.rtd",,"Inst",$B$1,$A19)</f>
        <v>4706635997717094512</v>
      </c>
      <c r="C19" s="10" t="str">
        <f ca="1">MID(RTD("tt.rtd",,$B19,C$2),7,1)&amp;MID(RTD("tt.rtd",,$B19,C$2),11,1)</f>
        <v>H0</v>
      </c>
      <c r="D19" s="10" t="str">
        <f ca="1">RTD("tt.rtd",,$B19,D$2)</f>
        <v>"services.rtd.subscriptionError"</v>
      </c>
      <c r="E19" s="10" t="str">
        <f ca="1">RTD("tt.rtd",,$B19,E$2)</f>
        <v>"services.rtd.subscriptionError"</v>
      </c>
      <c r="F19" s="10" t="str">
        <f ca="1">RTD("tt.rtd",,$B19,F$2)</f>
        <v>"services.rtd.subscriptionError"</v>
      </c>
      <c r="G19" s="10" t="str">
        <f ca="1">RTD("tt.rtd",,$B19,G$2)</f>
        <v>"services.rtd.subscriptionError"</v>
      </c>
      <c r="H19" s="10" t="str">
        <f ca="1">RTD("tt.rtd",,$B19,H$2)</f>
        <v>"services.rtd.subscriptionError"</v>
      </c>
      <c r="I19" s="10" t="str">
        <f ca="1">RTD("tt.rtd",,$B19,I$2)</f>
        <v>"services.rtd.subscriptionError"</v>
      </c>
      <c r="J19" s="10" t="str">
        <f ca="1">RTD("tt.rtd",,$B19,J$2)</f>
        <v>"services.rtd.subscriptionError"</v>
      </c>
      <c r="K19" s="5" t="str">
        <f t="shared" ca="1" si="0"/>
        <v>"services.rtd.subscriptionError"</v>
      </c>
      <c r="L19" s="5" t="str">
        <f t="shared" ca="1" si="1"/>
        <v>"services.rtd.subscriptionError"</v>
      </c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11" t="str">
        <f ca="1">$A$2&amp;" FM"&amp;LEFT('cont list_bg'!G23,1)&amp;"00"&amp;RIGHT('cont list_bg'!G23,2)&amp;"!"</f>
        <v>SO3 FMM0030!</v>
      </c>
      <c r="B20" s="9" t="str">
        <f ca="1">RTD("tt.rtd",,"Inst",$B$1,$A20)</f>
        <v>984227764123173732</v>
      </c>
      <c r="C20" s="10" t="str">
        <f ca="1">MID(RTD("tt.rtd",,$B20,C$2),7,1)&amp;MID(RTD("tt.rtd",,$B20,C$2),11,1)</f>
        <v>M0</v>
      </c>
      <c r="D20" s="10" t="str">
        <f ca="1">RTD("tt.rtd",,$B20,D$2)</f>
        <v>"services.rtd.subscriptionError"</v>
      </c>
      <c r="E20" s="10" t="str">
        <f ca="1">RTD("tt.rtd",,$B20,E$2)</f>
        <v>"services.rtd.subscriptionError"</v>
      </c>
      <c r="F20" s="10" t="str">
        <f ca="1">RTD("tt.rtd",,$B20,F$2)</f>
        <v>"services.rtd.subscriptionError"</v>
      </c>
      <c r="G20" s="10" t="str">
        <f ca="1">RTD("tt.rtd",,$B20,G$2)</f>
        <v>"services.rtd.subscriptionError"</v>
      </c>
      <c r="H20" s="10" t="str">
        <f ca="1">RTD("tt.rtd",,$B20,H$2)</f>
        <v>"services.rtd.subscriptionError"</v>
      </c>
      <c r="I20" s="10" t="str">
        <f ca="1">RTD("tt.rtd",,$B20,I$2)</f>
        <v>"services.rtd.subscriptionError"</v>
      </c>
      <c r="J20" s="10" t="str">
        <f ca="1">RTD("tt.rtd",,$B20,J$2)</f>
        <v>"services.rtd.subscriptionError"</v>
      </c>
      <c r="K20" s="5" t="str">
        <f t="shared" ca="1" si="0"/>
        <v>"services.rtd.subscriptionError"</v>
      </c>
      <c r="L20" s="5" t="str">
        <f t="shared" ca="1" si="1"/>
        <v>"services.rtd.subscriptionError"</v>
      </c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11" t="str">
        <f ca="1">$A$2&amp;" FM"&amp;LEFT('cont list_bg'!G24,1)&amp;"00"&amp;RIGHT('cont list_bg'!G24,2)&amp;"!"</f>
        <v>SO3 FMU0030!</v>
      </c>
      <c r="B21" s="9" t="str">
        <f ca="1">RTD("tt.rtd",,"Inst",$B$1,$A21)</f>
        <v>7750437799258336819</v>
      </c>
      <c r="C21" s="10" t="str">
        <f ca="1">MID(RTD("tt.rtd",,$B21,C$2),7,1)&amp;MID(RTD("tt.rtd",,$B21,C$2),11,1)</f>
        <v>U0</v>
      </c>
      <c r="D21" s="10" t="str">
        <f ca="1">RTD("tt.rtd",,$B21,D$2)</f>
        <v>"services.rtd.subscriptionError"</v>
      </c>
      <c r="E21" s="10" t="str">
        <f ca="1">RTD("tt.rtd",,$B21,E$2)</f>
        <v>"services.rtd.subscriptionError"</v>
      </c>
      <c r="F21" s="10" t="str">
        <f ca="1">RTD("tt.rtd",,$B21,F$2)</f>
        <v>"services.rtd.subscriptionError"</v>
      </c>
      <c r="G21" s="10" t="str">
        <f ca="1">RTD("tt.rtd",,$B21,G$2)</f>
        <v>"services.rtd.subscriptionError"</v>
      </c>
      <c r="H21" s="10" t="str">
        <f ca="1">RTD("tt.rtd",,$B21,H$2)</f>
        <v>"services.rtd.subscriptionError"</v>
      </c>
      <c r="I21" s="10" t="str">
        <f ca="1">RTD("tt.rtd",,$B21,I$2)</f>
        <v>"services.rtd.subscriptionError"</v>
      </c>
      <c r="J21" s="10" t="str">
        <f ca="1">RTD("tt.rtd",,$B21,J$2)</f>
        <v>"services.rtd.subscriptionError"</v>
      </c>
      <c r="K21" s="5" t="str">
        <f t="shared" ca="1" si="0"/>
        <v>"services.rtd.subscriptionError"</v>
      </c>
      <c r="L21" s="5" t="str">
        <f t="shared" ca="1" si="1"/>
        <v>"services.rtd.subscriptionError"</v>
      </c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11" t="str">
        <f ca="1">$A$2&amp;" FM"&amp;LEFT('cont list_bg'!G25,1)&amp;"00"&amp;RIGHT('cont list_bg'!G25,2)&amp;"!"</f>
        <v>SO3 FMZ0030!</v>
      </c>
      <c r="B22" s="9" t="str">
        <f ca="1">RTD("tt.rtd",,"Inst",$B$1,$A22)</f>
        <v>14895182341839773964</v>
      </c>
      <c r="C22" s="10" t="str">
        <f ca="1">MID(RTD("tt.rtd",,$B22,C$2),7,1)&amp;MID(RTD("tt.rtd",,$B22,C$2),11,1)</f>
        <v>Z0</v>
      </c>
      <c r="D22" s="10" t="str">
        <f ca="1">RTD("tt.rtd",,$B22,D$2)</f>
        <v>"services.rtd.subscriptionError"</v>
      </c>
      <c r="E22" s="10" t="str">
        <f ca="1">RTD("tt.rtd",,$B22,E$2)</f>
        <v>"services.rtd.subscriptionError"</v>
      </c>
      <c r="F22" s="10" t="str">
        <f ca="1">RTD("tt.rtd",,$B22,F$2)</f>
        <v>"services.rtd.subscriptionError"</v>
      </c>
      <c r="G22" s="10" t="str">
        <f ca="1">RTD("tt.rtd",,$B22,G$2)</f>
        <v>"services.rtd.subscriptionError"</v>
      </c>
      <c r="H22" s="10" t="str">
        <f ca="1">RTD("tt.rtd",,$B22,H$2)</f>
        <v>"services.rtd.subscriptionError"</v>
      </c>
      <c r="I22" s="10" t="str">
        <f ca="1">RTD("tt.rtd",,$B22,I$2)</f>
        <v>"services.rtd.subscriptionError"</v>
      </c>
      <c r="J22" s="10" t="str">
        <f ca="1">RTD("tt.rtd",,$B22,J$2)</f>
        <v>"services.rtd.subscriptionError"</v>
      </c>
      <c r="K22" s="5" t="str">
        <f t="shared" ca="1" si="0"/>
        <v>"services.rtd.subscriptionError"</v>
      </c>
      <c r="L22" s="5" t="str">
        <f t="shared" ca="1" si="1"/>
        <v>"services.rtd.subscriptionError"</v>
      </c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11" t="str">
        <f ca="1">$A$2&amp;" FM"&amp;LEFT('cont list_bg'!G26,1)&amp;"00"&amp;RIGHT('cont list_bg'!G26,2)&amp;"!"</f>
        <v>SO3 FMH0031!</v>
      </c>
      <c r="B23" s="9" t="str">
        <f ca="1">RTD("tt.rtd",,"Inst",$B$1,$A23)</f>
        <v>1747584185598573651</v>
      </c>
      <c r="C23" s="10" t="str">
        <f ca="1">MID(RTD("tt.rtd",,$B23,C$2),7,1)&amp;MID(RTD("tt.rtd",,$B23,C$2),11,1)</f>
        <v>H1</v>
      </c>
      <c r="D23" s="10" t="str">
        <f ca="1">RTD("tt.rtd",,$B23,D$2)</f>
        <v>"services.rtd.subscriptionError"</v>
      </c>
      <c r="E23" s="10" t="str">
        <f ca="1">RTD("tt.rtd",,$B23,E$2)</f>
        <v>"services.rtd.subscriptionError"</v>
      </c>
      <c r="F23" s="10" t="str">
        <f ca="1">RTD("tt.rtd",,$B23,F$2)</f>
        <v>"services.rtd.subscriptionError"</v>
      </c>
      <c r="G23" s="10" t="str">
        <f ca="1">RTD("tt.rtd",,$B23,G$2)</f>
        <v>"services.rtd.subscriptionError"</v>
      </c>
      <c r="H23" s="10" t="str">
        <f ca="1">RTD("tt.rtd",,$B23,H$2)</f>
        <v>"services.rtd.subscriptionError"</v>
      </c>
      <c r="I23" s="10" t="str">
        <f ca="1">RTD("tt.rtd",,$B23,I$2)</f>
        <v>"services.rtd.subscriptionError"</v>
      </c>
      <c r="J23" s="10" t="str">
        <f ca="1">RTD("tt.rtd",,$B23,J$2)</f>
        <v>"services.rtd.subscriptionError"</v>
      </c>
      <c r="K23" s="5" t="str">
        <f t="shared" ca="1" si="0"/>
        <v>"services.rtd.subscriptionError"</v>
      </c>
      <c r="L23" s="5" t="str">
        <f t="shared" ca="1" si="1"/>
        <v>"services.rtd.subscriptionError"</v>
      </c>
      <c r="Q23" s="5"/>
      <c r="R23" s="5"/>
      <c r="S23" s="5"/>
      <c r="T23" s="5"/>
      <c r="U23" s="5"/>
      <c r="V23" s="5"/>
      <c r="W23" s="5"/>
      <c r="X23" s="5"/>
    </row>
    <row r="24" spans="1:24" x14ac:dyDescent="0.25">
      <c r="A24" s="11" t="str">
        <f ca="1">$A$2&amp;" FM"&amp;LEFT('cont list_bg'!G27,1)&amp;"00"&amp;RIGHT('cont list_bg'!G27,2)&amp;"!"</f>
        <v>SO3 FMM0031!</v>
      </c>
      <c r="B24" s="9" t="str">
        <f ca="1">RTD("tt.rtd",,"Inst",$B$1,$A24)</f>
        <v>15764738434942585223</v>
      </c>
      <c r="C24" s="10" t="str">
        <f ca="1">MID(RTD("tt.rtd",,$B24,C$2),7,1)&amp;MID(RTD("tt.rtd",,$B24,C$2),11,1)</f>
        <v>M1</v>
      </c>
      <c r="D24" s="10" t="str">
        <f ca="1">RTD("tt.rtd",,$B24,D$2)</f>
        <v>"services.rtd.subscriptionError"</v>
      </c>
      <c r="E24" s="10" t="str">
        <f ca="1">RTD("tt.rtd",,$B24,E$2)</f>
        <v>"services.rtd.subscriptionError"</v>
      </c>
      <c r="F24" s="10" t="str">
        <f ca="1">RTD("tt.rtd",,$B24,F$2)</f>
        <v>"services.rtd.subscriptionError"</v>
      </c>
      <c r="G24" s="10" t="str">
        <f ca="1">RTD("tt.rtd",,$B24,G$2)</f>
        <v>"services.rtd.subscriptionError"</v>
      </c>
      <c r="H24" s="10" t="str">
        <f ca="1">RTD("tt.rtd",,$B24,H$2)</f>
        <v>"services.rtd.subscriptionError"</v>
      </c>
      <c r="I24" s="10" t="str">
        <f ca="1">RTD("tt.rtd",,$B24,I$2)</f>
        <v>"services.rtd.subscriptionError"</v>
      </c>
      <c r="J24" s="10" t="str">
        <f ca="1">RTD("tt.rtd",,$B24,J$2)</f>
        <v>"services.rtd.subscriptionError"</v>
      </c>
      <c r="K24" s="5" t="str">
        <f t="shared" ca="1" si="0"/>
        <v>"services.rtd.subscriptionError"</v>
      </c>
      <c r="L24" s="5" t="str">
        <f t="shared" ca="1" si="1"/>
        <v>"services.rtd.subscriptionError"</v>
      </c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11" t="str">
        <f ca="1">$A$2&amp;" FM"&amp;LEFT('cont list_bg'!G28,1)&amp;"00"&amp;RIGHT('cont list_bg'!G28,2)&amp;"!"</f>
        <v>SO3 FMU0031!</v>
      </c>
      <c r="B25" s="9" t="str">
        <f ca="1">RTD("tt.rtd",,"Inst",$B$1,$A25)</f>
        <v>9603963912848611289</v>
      </c>
      <c r="C25" s="10" t="str">
        <f ca="1">MID(RTD("tt.rtd",,$B25,C$2),7,1)&amp;MID(RTD("tt.rtd",,$B25,C$2),11,1)</f>
        <v>U1</v>
      </c>
      <c r="D25" s="10" t="str">
        <f ca="1">RTD("tt.rtd",,$B25,D$2)</f>
        <v>"services.rtd.subscriptionError"</v>
      </c>
      <c r="E25" s="10" t="str">
        <f ca="1">RTD("tt.rtd",,$B25,E$2)</f>
        <v>"services.rtd.subscriptionError"</v>
      </c>
      <c r="F25" s="10" t="str">
        <f ca="1">RTD("tt.rtd",,$B25,F$2)</f>
        <v>"services.rtd.subscriptionError"</v>
      </c>
      <c r="G25" s="10" t="str">
        <f ca="1">RTD("tt.rtd",,$B25,G$2)</f>
        <v>"services.rtd.subscriptionError"</v>
      </c>
      <c r="H25" s="10" t="str">
        <f ca="1">RTD("tt.rtd",,$B25,H$2)</f>
        <v>"services.rtd.subscriptionError"</v>
      </c>
      <c r="I25" s="10" t="str">
        <f ca="1">RTD("tt.rtd",,$B25,I$2)</f>
        <v>"services.rtd.subscriptionError"</v>
      </c>
      <c r="J25" s="10" t="str">
        <f ca="1">RTD("tt.rtd",,$B25,J$2)</f>
        <v>"services.rtd.subscriptionError"</v>
      </c>
      <c r="K25" s="5" t="str">
        <f t="shared" ca="1" si="0"/>
        <v>"services.rtd.subscriptionError"</v>
      </c>
      <c r="L25" s="5" t="str">
        <f t="shared" ca="1" si="1"/>
        <v>"services.rtd.subscriptionError"</v>
      </c>
      <c r="Q25" s="5"/>
      <c r="R25" s="5"/>
      <c r="S25" s="5"/>
      <c r="T25" s="5"/>
      <c r="U25" s="5"/>
      <c r="V25" s="5"/>
      <c r="W25" s="5"/>
      <c r="X25" s="5"/>
    </row>
    <row r="26" spans="1:24" x14ac:dyDescent="0.25">
      <c r="A26" s="11" t="str">
        <f ca="1">$A$2&amp;" FM"&amp;LEFT('cont list_bg'!G29,1)&amp;"00"&amp;RIGHT('cont list_bg'!G29,2)&amp;"!"</f>
        <v>SO3 FMZ0031!</v>
      </c>
      <c r="B26" s="9" t="str">
        <f ca="1">RTD("tt.rtd",,"Inst",$B$1,$A26)</f>
        <v>364994179361158614</v>
      </c>
      <c r="C26" s="10" t="str">
        <f ca="1">MID(RTD("tt.rtd",,$B26,C$2),7,1)&amp;MID(RTD("tt.rtd",,$B26,C$2),11,1)</f>
        <v>Z1</v>
      </c>
      <c r="D26" s="10" t="str">
        <f ca="1">RTD("tt.rtd",,$B26,D$2)</f>
        <v>"services.rtd.subscriptionError"</v>
      </c>
      <c r="E26" s="10" t="str">
        <f ca="1">RTD("tt.rtd",,$B26,E$2)</f>
        <v>"services.rtd.subscriptionError"</v>
      </c>
      <c r="F26" s="10" t="str">
        <f ca="1">RTD("tt.rtd",,$B26,F$2)</f>
        <v>"services.rtd.subscriptionError"</v>
      </c>
      <c r="G26" s="10" t="str">
        <f ca="1">RTD("tt.rtd",,$B26,G$2)</f>
        <v>"services.rtd.subscriptionError"</v>
      </c>
      <c r="H26" s="10" t="str">
        <f ca="1">RTD("tt.rtd",,$B26,H$2)</f>
        <v>"services.rtd.subscriptionError"</v>
      </c>
      <c r="I26" s="10" t="str">
        <f ca="1">RTD("tt.rtd",,$B26,I$2)</f>
        <v>"services.rtd.subscriptionError"</v>
      </c>
      <c r="J26" s="10" t="str">
        <f ca="1">RTD("tt.rtd",,$B26,J$2)</f>
        <v>"services.rtd.subscriptionError"</v>
      </c>
      <c r="K26" s="5" t="str">
        <f t="shared" ca="1" si="0"/>
        <v>"services.rtd.subscriptionError"</v>
      </c>
      <c r="L26" s="5" t="str">
        <f t="shared" ca="1" si="1"/>
        <v>"services.rtd.subscriptionError"</v>
      </c>
      <c r="Q26" s="5"/>
      <c r="R26" s="5"/>
      <c r="S26" s="5"/>
      <c r="T26" s="5"/>
      <c r="U26" s="5"/>
      <c r="V26" s="5"/>
      <c r="W26" s="5"/>
      <c r="X26" s="5"/>
    </row>
    <row r="27" spans="1:24" x14ac:dyDescent="0.25">
      <c r="A27" s="11" t="str">
        <f ca="1">$A$2&amp;" FM"&amp;LEFT('cont list_bg'!G30,1)&amp;"00"&amp;RIGHT('cont list_bg'!G30,2)&amp;"!"</f>
        <v>SO3 FMH0032!</v>
      </c>
      <c r="B27" s="9" t="str">
        <f ca="1">RTD("tt.rtd",,"Inst",$B$1,$A27)</f>
        <v>1916532763064230074</v>
      </c>
      <c r="C27" s="10" t="str">
        <f ca="1">MID(RTD("tt.rtd",,$B27,C$2),7,1)&amp;MID(RTD("tt.rtd",,$B27,C$2),11,1)</f>
        <v>H2</v>
      </c>
      <c r="D27" s="10" t="str">
        <f ca="1">RTD("tt.rtd",,$B27,D$2)</f>
        <v>95.295</v>
      </c>
      <c r="E27" s="10" t="str">
        <f ca="1">RTD("tt.rtd",,$B27,E$2)</f>
        <v>95.235</v>
      </c>
      <c r="F27" s="10" t="str">
        <f ca="1">RTD("tt.rtd",,$B27,F$2)</f>
        <v/>
      </c>
      <c r="G27" s="10">
        <f ca="1">RTD("tt.rtd",,$B27,G$2)</f>
        <v>0</v>
      </c>
      <c r="H27" s="10" t="str">
        <f ca="1">RTD("tt.rtd",,$B27,H$2)</f>
        <v>95.215</v>
      </c>
      <c r="I27" s="10" t="str">
        <f ca="1">RTD("tt.rtd",,$B27,I$2)</f>
        <v>Open</v>
      </c>
      <c r="J27" s="10">
        <f ca="1">RTD("tt.rtd",,$B27,J$2)</f>
        <v>0</v>
      </c>
      <c r="K27" s="5">
        <f t="shared" ca="1" si="0"/>
        <v>95.265000000000001</v>
      </c>
      <c r="L27" s="5">
        <f t="shared" ca="1" si="1"/>
        <v>95.265000000000001</v>
      </c>
      <c r="Q27" s="5"/>
      <c r="R27" s="5"/>
      <c r="S27" s="5"/>
      <c r="T27" s="5"/>
      <c r="U27" s="5"/>
      <c r="V27" s="5"/>
      <c r="W27" s="5"/>
      <c r="X27" s="5"/>
    </row>
    <row r="28" spans="1:24" x14ac:dyDescent="0.25">
      <c r="A28" s="11"/>
      <c r="B28" s="9"/>
      <c r="C28" s="9"/>
      <c r="D28" s="10"/>
      <c r="E28" s="10"/>
      <c r="F28" s="10"/>
      <c r="G28" s="10"/>
      <c r="H28" s="10"/>
      <c r="I28" s="10"/>
      <c r="J28" s="10"/>
      <c r="K28" s="5"/>
      <c r="L28" s="5"/>
    </row>
    <row r="29" spans="1:24" x14ac:dyDescent="0.25">
      <c r="A29" s="11"/>
      <c r="B29" s="9"/>
      <c r="C29" s="9"/>
      <c r="D29" s="10"/>
      <c r="E29" s="10"/>
      <c r="F29" s="10"/>
      <c r="G29" s="10"/>
      <c r="H29" s="10"/>
      <c r="I29" s="10"/>
      <c r="J29" s="10"/>
      <c r="K29" s="5"/>
      <c r="L29" s="5"/>
    </row>
    <row r="30" spans="1:24" x14ac:dyDescent="0.25">
      <c r="A30" s="11"/>
      <c r="B30" s="9"/>
      <c r="C30" s="9"/>
      <c r="D30" s="10"/>
      <c r="E30" s="10"/>
      <c r="F30" s="10"/>
      <c r="G30" s="10"/>
      <c r="H30" s="10"/>
      <c r="I30" s="10"/>
      <c r="J30" s="10"/>
      <c r="K30" s="5"/>
      <c r="L30" s="5"/>
    </row>
    <row r="31" spans="1:24" x14ac:dyDescent="0.25">
      <c r="A31" s="11"/>
      <c r="B31" s="9"/>
      <c r="C31" s="9"/>
      <c r="D31" s="10"/>
      <c r="E31" s="10"/>
      <c r="F31" s="10"/>
      <c r="G31" s="10"/>
      <c r="H31" s="10"/>
      <c r="I31" s="10"/>
      <c r="J31" s="10"/>
      <c r="K31" s="5"/>
      <c r="L31" s="5"/>
    </row>
    <row r="32" spans="1:24" x14ac:dyDescent="0.25">
      <c r="A32" s="11"/>
      <c r="B32" s="9"/>
      <c r="C32" s="9"/>
      <c r="D32" s="10"/>
      <c r="E32" s="10"/>
      <c r="F32" s="10"/>
      <c r="G32" s="10"/>
      <c r="H32" s="10"/>
      <c r="I32" s="10"/>
      <c r="J32" s="10"/>
      <c r="K32" s="5"/>
      <c r="L32" s="5"/>
    </row>
    <row r="33" spans="1:12" x14ac:dyDescent="0.25">
      <c r="A33" s="11"/>
      <c r="B33" s="9"/>
      <c r="C33" s="9"/>
      <c r="D33" s="10"/>
      <c r="E33" s="10"/>
      <c r="F33" s="10"/>
      <c r="G33" s="10"/>
      <c r="H33" s="10"/>
      <c r="I33" s="10"/>
      <c r="J33" s="10"/>
      <c r="K33" s="5"/>
      <c r="L33" s="5"/>
    </row>
    <row r="34" spans="1:12" x14ac:dyDescent="0.25">
      <c r="A34" s="11"/>
      <c r="B34" s="9"/>
      <c r="C34" s="9"/>
      <c r="D34" s="10"/>
      <c r="E34" s="10"/>
      <c r="F34" s="10"/>
      <c r="G34" s="10"/>
      <c r="H34" s="10"/>
      <c r="I34" s="10"/>
      <c r="J34" s="10"/>
      <c r="K34" s="5"/>
      <c r="L34" s="5"/>
    </row>
    <row r="35" spans="1:12" x14ac:dyDescent="0.25">
      <c r="A35" s="11"/>
      <c r="B35" s="9"/>
      <c r="C35" s="9"/>
      <c r="D35" s="10"/>
      <c r="E35" s="10"/>
      <c r="F35" s="10"/>
      <c r="G35" s="10"/>
      <c r="H35" s="10"/>
      <c r="I35" s="10"/>
      <c r="J35" s="10"/>
      <c r="K35" s="5"/>
      <c r="L35" s="5"/>
    </row>
    <row r="36" spans="1:12" x14ac:dyDescent="0.25">
      <c r="A36" s="11"/>
    </row>
    <row r="37" spans="1:12" x14ac:dyDescent="0.25">
      <c r="A37" s="11"/>
    </row>
    <row r="38" spans="1:12" x14ac:dyDescent="0.25">
      <c r="A38" s="11"/>
    </row>
    <row r="39" spans="1:12" x14ac:dyDescent="0.25">
      <c r="A39" s="11"/>
    </row>
    <row r="40" spans="1:12" x14ac:dyDescent="0.25">
      <c r="A40" s="11"/>
    </row>
    <row r="41" spans="1:12" x14ac:dyDescent="0.25">
      <c r="A41" s="11"/>
    </row>
    <row r="42" spans="1:12" x14ac:dyDescent="0.25">
      <c r="A42" s="11"/>
    </row>
    <row r="43" spans="1:12" x14ac:dyDescent="0.25">
      <c r="A43" s="11"/>
    </row>
    <row r="44" spans="1:12" x14ac:dyDescent="0.25">
      <c r="A4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CF73-8DEB-449A-ACBA-9F19DA381871}">
  <dimension ref="A1:L28"/>
  <sheetViews>
    <sheetView workbookViewId="0">
      <selection activeCell="J11" sqref="J11"/>
    </sheetView>
  </sheetViews>
  <sheetFormatPr defaultRowHeight="15" x14ac:dyDescent="0.25"/>
  <sheetData>
    <row r="1" spans="1:12" x14ac:dyDescent="0.25">
      <c r="A1" s="22" t="s">
        <v>85</v>
      </c>
      <c r="B1" s="23" t="s">
        <v>92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85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A3" s="11" t="str">
        <f ca="1">$A$2&amp;" FM"&amp;LEFT('cont list_bg'!G6,1)&amp;"00"&amp;RIGHT('cont list_bg'!G6,2)&amp;"!"</f>
        <v>SA3 FMH0026!</v>
      </c>
      <c r="B3" s="9" t="str">
        <f ca="1">RTD("tt.rtd",,"Inst",$B$1,$A3)</f>
        <v>14714678855879803828</v>
      </c>
      <c r="C3" s="10" t="str">
        <f ca="1">MID(RTD("tt.rtd",,$B3,C$2),7,1)&amp;MID(RTD("tt.rtd",,$B3,C$2),11,1)</f>
        <v>H6</v>
      </c>
      <c r="D3" s="10" t="str">
        <f ca="1">RTD("tt.rtd",,$B3,D$2)</f>
        <v>"services.rtd.subscriptionError"</v>
      </c>
      <c r="E3" s="10" t="str">
        <f ca="1">RTD("tt.rtd",,$B3,E$2)</f>
        <v>"services.rtd.subscriptionError"</v>
      </c>
      <c r="F3" s="10" t="str">
        <f ca="1">RTD("tt.rtd",,$B3,F$2)</f>
        <v>"services.rtd.subscriptionError"</v>
      </c>
      <c r="G3" s="10" t="str">
        <f ca="1">RTD("tt.rtd",,$B3,G$2)</f>
        <v>"services.rtd.subscriptionError"</v>
      </c>
      <c r="H3" s="10" t="str">
        <f ca="1">RTD("tt.rtd",,$B3,H$2)</f>
        <v>"services.rtd.subscriptionError"</v>
      </c>
      <c r="I3" s="10" t="str">
        <f ca="1">RTD("tt.rtd",,$B3,I$2)</f>
        <v>"services.rtd.subscriptionError"</v>
      </c>
      <c r="J3" s="10" t="str">
        <f ca="1">RTD("tt.rtd",,$B3,J$2)</f>
        <v>"services.rtd.subscriptionError"</v>
      </c>
      <c r="K3" s="5" t="str">
        <f ca="1">IFERROR(IF(I3="Open",(E3+D3)/2,H3),H3)</f>
        <v>"services.rtd.subscriptionError"</v>
      </c>
      <c r="L3" s="5" t="str">
        <f ca="1">IF(AND(I3="Open",G3&gt;0),F3,K3)</f>
        <v>"services.rtd.subscriptionError"</v>
      </c>
    </row>
    <row r="4" spans="1:12" x14ac:dyDescent="0.25">
      <c r="A4" s="11" t="str">
        <f ca="1">$A$2&amp;" FM"&amp;LEFT('cont list_bg'!G7,1)&amp;"00"&amp;RIGHT('cont list_bg'!G7,2)&amp;"!"</f>
        <v>SA3 FMM0026!</v>
      </c>
      <c r="B4" s="9" t="str">
        <f ca="1">RTD("tt.rtd",,"Inst",$B$1,$A4)</f>
        <v>6777292727603905167</v>
      </c>
      <c r="C4" s="10" t="str">
        <f ca="1">MID(RTD("tt.rtd",,$B4,C$2),7,1)&amp;MID(RTD("tt.rtd",,$B4,C$2),11,1)</f>
        <v>M6</v>
      </c>
      <c r="D4" s="10" t="str">
        <f ca="1">RTD("tt.rtd",,$B4,D$2)</f>
        <v>"services.rtd.subscriptionError"</v>
      </c>
      <c r="E4" s="10" t="str">
        <f ca="1">RTD("tt.rtd",,$B4,E$2)</f>
        <v>"services.rtd.subscriptionError"</v>
      </c>
      <c r="F4" s="10" t="str">
        <f ca="1">RTD("tt.rtd",,$B4,F$2)</f>
        <v>"services.rtd.subscriptionError"</v>
      </c>
      <c r="G4" s="10" t="str">
        <f ca="1">RTD("tt.rtd",,$B4,G$2)</f>
        <v>"services.rtd.subscriptionError"</v>
      </c>
      <c r="H4" s="10" t="str">
        <f ca="1">RTD("tt.rtd",,$B4,H$2)</f>
        <v>"services.rtd.subscriptionError"</v>
      </c>
      <c r="I4" s="10" t="str">
        <f ca="1">RTD("tt.rtd",,$B4,I$2)</f>
        <v>"services.rtd.subscriptionError"</v>
      </c>
      <c r="J4" s="10" t="str">
        <f ca="1">RTD("tt.rtd",,$B4,J$2)</f>
        <v>"services.rtd.subscriptionError"</v>
      </c>
      <c r="K4" s="5" t="str">
        <f t="shared" ref="K4:K18" ca="1" si="0">IFERROR(IF(I4="Open",(E4+D4)/2,H4),H4)</f>
        <v>"services.rtd.subscriptionError"</v>
      </c>
      <c r="L4" s="5" t="str">
        <f t="shared" ref="L4:L18" ca="1" si="1">IF(AND(I4="Open",G4&gt;0),F4,K4)</f>
        <v>"services.rtd.subscriptionError"</v>
      </c>
    </row>
    <row r="5" spans="1:12" x14ac:dyDescent="0.25">
      <c r="A5" s="11" t="str">
        <f ca="1">$A$2&amp;" FM"&amp;LEFT('cont list_bg'!G8,1)&amp;"00"&amp;RIGHT('cont list_bg'!G8,2)&amp;"!"</f>
        <v>SA3 FMU0026!</v>
      </c>
      <c r="B5" s="9" t="str">
        <f ca="1">RTD("tt.rtd",,"Inst",$B$1,$A5)</f>
        <v>10152022727750786343</v>
      </c>
      <c r="C5" s="10" t="str">
        <f ca="1">MID(RTD("tt.rtd",,$B5,C$2),7,1)&amp;MID(RTD("tt.rtd",,$B5,C$2),11,1)</f>
        <v>U6</v>
      </c>
      <c r="D5" s="10" t="str">
        <f ca="1">RTD("tt.rtd",,$B5,D$2)</f>
        <v>"services.rtd.subscriptionError"</v>
      </c>
      <c r="E5" s="10" t="str">
        <f ca="1">RTD("tt.rtd",,$B5,E$2)</f>
        <v>"services.rtd.subscriptionError"</v>
      </c>
      <c r="F5" s="10" t="str">
        <f ca="1">RTD("tt.rtd",,$B5,F$2)</f>
        <v>"services.rtd.subscriptionError"</v>
      </c>
      <c r="G5" s="10" t="str">
        <f ca="1">RTD("tt.rtd",,$B5,G$2)</f>
        <v>"services.rtd.subscriptionError"</v>
      </c>
      <c r="H5" s="10" t="str">
        <f ca="1">RTD("tt.rtd",,$B5,H$2)</f>
        <v>"services.rtd.subscriptionError"</v>
      </c>
      <c r="I5" s="10" t="str">
        <f ca="1">RTD("tt.rtd",,$B5,I$2)</f>
        <v>"services.rtd.subscriptionError"</v>
      </c>
      <c r="J5" s="10" t="str">
        <f ca="1">RTD("tt.rtd",,$B5,J$2)</f>
        <v>"services.rtd.subscriptionError"</v>
      </c>
      <c r="K5" s="5" t="str">
        <f t="shared" ca="1" si="0"/>
        <v>"services.rtd.subscriptionError"</v>
      </c>
      <c r="L5" s="5" t="str">
        <f t="shared" ca="1" si="1"/>
        <v>"services.rtd.subscriptionError"</v>
      </c>
    </row>
    <row r="6" spans="1:12" x14ac:dyDescent="0.25">
      <c r="A6" s="11" t="str">
        <f ca="1">$A$2&amp;" FM"&amp;LEFT('cont list_bg'!G9,1)&amp;"00"&amp;RIGHT('cont list_bg'!G9,2)&amp;"!"</f>
        <v>SA3 FMZ0026!</v>
      </c>
      <c r="B6" s="9" t="str">
        <f ca="1">RTD("tt.rtd",,"Inst",$B$1,$A6)</f>
        <v>6914531881671971328</v>
      </c>
      <c r="C6" s="10" t="str">
        <f ca="1">MID(RTD("tt.rtd",,$B6,C$2),7,1)&amp;MID(RTD("tt.rtd",,$B6,C$2),11,1)</f>
        <v>Z6</v>
      </c>
      <c r="D6" s="10" t="str">
        <f ca="1">RTD("tt.rtd",,$B6,D$2)</f>
        <v>"services.rtd.subscriptionError"</v>
      </c>
      <c r="E6" s="10" t="str">
        <f ca="1">RTD("tt.rtd",,$B6,E$2)</f>
        <v>"services.rtd.subscriptionError"</v>
      </c>
      <c r="F6" s="10" t="str">
        <f ca="1">RTD("tt.rtd",,$B6,F$2)</f>
        <v>"services.rtd.subscriptionError"</v>
      </c>
      <c r="G6" s="10" t="str">
        <f ca="1">RTD("tt.rtd",,$B6,G$2)</f>
        <v>"services.rtd.subscriptionError"</v>
      </c>
      <c r="H6" s="10" t="str">
        <f ca="1">RTD("tt.rtd",,$B6,H$2)</f>
        <v>"services.rtd.subscriptionError"</v>
      </c>
      <c r="I6" s="10" t="str">
        <f ca="1">RTD("tt.rtd",,$B6,I$2)</f>
        <v>"services.rtd.subscriptionError"</v>
      </c>
      <c r="J6" s="10" t="str">
        <f ca="1">RTD("tt.rtd",,$B6,J$2)</f>
        <v>"services.rtd.subscriptionError"</v>
      </c>
      <c r="K6" s="5" t="str">
        <f t="shared" ca="1" si="0"/>
        <v>"services.rtd.subscriptionError"</v>
      </c>
      <c r="L6" s="5" t="str">
        <f t="shared" ca="1" si="1"/>
        <v>"services.rtd.subscriptionError"</v>
      </c>
    </row>
    <row r="7" spans="1:12" x14ac:dyDescent="0.25">
      <c r="A7" s="11" t="str">
        <f ca="1">$A$2&amp;" FM"&amp;LEFT('cont list_bg'!G10,1)&amp;"00"&amp;RIGHT('cont list_bg'!G10,2)&amp;"!"</f>
        <v>SA3 FMH0027!</v>
      </c>
      <c r="B7" s="9" t="str">
        <f ca="1">RTD("tt.rtd",,"Inst",$B$1,$A7)</f>
        <v>5619891302845554146</v>
      </c>
      <c r="C7" s="10" t="str">
        <f ca="1">MID(RTD("tt.rtd",,$B7,C$2),7,1)&amp;MID(RTD("tt.rtd",,$B7,C$2),11,1)</f>
        <v>H7</v>
      </c>
      <c r="D7" s="10" t="str">
        <f ca="1">RTD("tt.rtd",,$B7,D$2)</f>
        <v>"services.rtd.subscriptionError"</v>
      </c>
      <c r="E7" s="10" t="str">
        <f ca="1">RTD("tt.rtd",,$B7,E$2)</f>
        <v>"services.rtd.subscriptionError"</v>
      </c>
      <c r="F7" s="10" t="str">
        <f ca="1">RTD("tt.rtd",,$B7,F$2)</f>
        <v>"services.rtd.subscriptionError"</v>
      </c>
      <c r="G7" s="10" t="str">
        <f ca="1">RTD("tt.rtd",,$B7,G$2)</f>
        <v>"services.rtd.subscriptionError"</v>
      </c>
      <c r="H7" s="10" t="str">
        <f ca="1">RTD("tt.rtd",,$B7,H$2)</f>
        <v>"services.rtd.subscriptionError"</v>
      </c>
      <c r="I7" s="10" t="str">
        <f ca="1">RTD("tt.rtd",,$B7,I$2)</f>
        <v>"services.rtd.subscriptionError"</v>
      </c>
      <c r="J7" s="10" t="str">
        <f ca="1">RTD("tt.rtd",,$B7,J$2)</f>
        <v>"services.rtd.subscriptionError"</v>
      </c>
      <c r="K7" s="5" t="str">
        <f t="shared" ca="1" si="0"/>
        <v>"services.rtd.subscriptionError"</v>
      </c>
      <c r="L7" s="5" t="str">
        <f t="shared" ca="1" si="1"/>
        <v>"services.rtd.subscriptionError"</v>
      </c>
    </row>
    <row r="8" spans="1:12" x14ac:dyDescent="0.25">
      <c r="A8" s="11" t="str">
        <f ca="1">$A$2&amp;" FM"&amp;LEFT('cont list_bg'!G11,1)&amp;"00"&amp;RIGHT('cont list_bg'!G11,2)&amp;"!"</f>
        <v>SA3 FMM0027!</v>
      </c>
      <c r="B8" s="9" t="str">
        <f ca="1">RTD("tt.rtd",,"Inst",$B$1,$A8)</f>
        <v>11935287284762367596</v>
      </c>
      <c r="C8" s="10" t="str">
        <f ca="1">MID(RTD("tt.rtd",,$B8,C$2),7,1)&amp;MID(RTD("tt.rtd",,$B8,C$2),11,1)</f>
        <v>M7</v>
      </c>
      <c r="D8" s="10" t="str">
        <f ca="1">RTD("tt.rtd",,$B8,D$2)</f>
        <v>"services.rtd.subscriptionError"</v>
      </c>
      <c r="E8" s="10" t="str">
        <f ca="1">RTD("tt.rtd",,$B8,E$2)</f>
        <v>"services.rtd.subscriptionError"</v>
      </c>
      <c r="F8" s="10" t="str">
        <f ca="1">RTD("tt.rtd",,$B8,F$2)</f>
        <v>"services.rtd.subscriptionError"</v>
      </c>
      <c r="G8" s="10" t="str">
        <f ca="1">RTD("tt.rtd",,$B8,G$2)</f>
        <v>"services.rtd.subscriptionError"</v>
      </c>
      <c r="H8" s="10" t="str">
        <f ca="1">RTD("tt.rtd",,$B8,H$2)</f>
        <v>"services.rtd.subscriptionError"</v>
      </c>
      <c r="I8" s="10" t="str">
        <f ca="1">RTD("tt.rtd",,$B8,I$2)</f>
        <v>"services.rtd.subscriptionError"</v>
      </c>
      <c r="J8" s="10" t="str">
        <f ca="1">RTD("tt.rtd",,$B8,J$2)</f>
        <v>"services.rtd.subscriptionError"</v>
      </c>
      <c r="K8" s="5" t="str">
        <f t="shared" ca="1" si="0"/>
        <v>"services.rtd.subscriptionError"</v>
      </c>
      <c r="L8" s="5" t="str">
        <f t="shared" ca="1" si="1"/>
        <v>"services.rtd.subscriptionError"</v>
      </c>
    </row>
    <row r="9" spans="1:12" x14ac:dyDescent="0.25">
      <c r="A9" s="11" t="str">
        <f ca="1">$A$2&amp;" FM"&amp;LEFT('cont list_bg'!G12,1)&amp;"00"&amp;RIGHT('cont list_bg'!G12,2)&amp;"!"</f>
        <v>SA3 FMU0027!</v>
      </c>
      <c r="B9" s="9" t="str">
        <f ca="1">RTD("tt.rtd",,"Inst",$B$1,$A9)</f>
        <v>3973483485124835681</v>
      </c>
      <c r="C9" s="10" t="str">
        <f ca="1">MID(RTD("tt.rtd",,$B9,C$2),7,1)&amp;MID(RTD("tt.rtd",,$B9,C$2),11,1)</f>
        <v>U7</v>
      </c>
      <c r="D9" s="10" t="str">
        <f ca="1">RTD("tt.rtd",,$B9,D$2)</f>
        <v>"services.rtd.subscriptionError"</v>
      </c>
      <c r="E9" s="10" t="str">
        <f ca="1">RTD("tt.rtd",,$B9,E$2)</f>
        <v>"services.rtd.subscriptionError"</v>
      </c>
      <c r="F9" s="10" t="str">
        <f ca="1">RTD("tt.rtd",,$B9,F$2)</f>
        <v>"services.rtd.subscriptionError"</v>
      </c>
      <c r="G9" s="10" t="str">
        <f ca="1">RTD("tt.rtd",,$B9,G$2)</f>
        <v>"services.rtd.subscriptionError"</v>
      </c>
      <c r="H9" s="10" t="str">
        <f ca="1">RTD("tt.rtd",,$B9,H$2)</f>
        <v>"services.rtd.subscriptionError"</v>
      </c>
      <c r="I9" s="10" t="str">
        <f ca="1">RTD("tt.rtd",,$B9,I$2)</f>
        <v>"services.rtd.subscriptionError"</v>
      </c>
      <c r="J9" s="10" t="str">
        <f ca="1">RTD("tt.rtd",,$B9,J$2)</f>
        <v>"services.rtd.subscriptionError"</v>
      </c>
      <c r="K9" s="5" t="str">
        <f t="shared" ca="1" si="0"/>
        <v>"services.rtd.subscriptionError"</v>
      </c>
      <c r="L9" s="5" t="str">
        <f t="shared" ca="1" si="1"/>
        <v>"services.rtd.subscriptionError"</v>
      </c>
    </row>
    <row r="10" spans="1:12" x14ac:dyDescent="0.25">
      <c r="A10" s="11" t="str">
        <f ca="1">$A$2&amp;" FM"&amp;LEFT('cont list_bg'!G13,1)&amp;"00"&amp;RIGHT('cont list_bg'!G13,2)&amp;"!"</f>
        <v>SA3 FMZ0027!</v>
      </c>
      <c r="B10" s="9" t="str">
        <f ca="1">RTD("tt.rtd",,"Inst",$B$1,$A10)</f>
        <v>12146542221589140494</v>
      </c>
      <c r="C10" s="10" t="str">
        <f ca="1">MID(RTD("tt.rtd",,$B10,C$2),7,1)&amp;MID(RTD("tt.rtd",,$B10,C$2),11,1)</f>
        <v>Z7</v>
      </c>
      <c r="D10" s="10" t="str">
        <f ca="1">RTD("tt.rtd",,$B10,D$2)</f>
        <v>"services.rtd.subscriptionError"</v>
      </c>
      <c r="E10" s="10" t="str">
        <f ca="1">RTD("tt.rtd",,$B10,E$2)</f>
        <v>"services.rtd.subscriptionError"</v>
      </c>
      <c r="F10" s="10" t="str">
        <f ca="1">RTD("tt.rtd",,$B10,F$2)</f>
        <v>"services.rtd.subscriptionError"</v>
      </c>
      <c r="G10" s="10" t="str">
        <f ca="1">RTD("tt.rtd",,$B10,G$2)</f>
        <v>"services.rtd.subscriptionError"</v>
      </c>
      <c r="H10" s="10" t="str">
        <f ca="1">RTD("tt.rtd",,$B10,H$2)</f>
        <v>"services.rtd.subscriptionError"</v>
      </c>
      <c r="I10" s="10" t="str">
        <f ca="1">RTD("tt.rtd",,$B10,I$2)</f>
        <v>"services.rtd.subscriptionError"</v>
      </c>
      <c r="J10" s="10" t="str">
        <f ca="1">RTD("tt.rtd",,$B10,J$2)</f>
        <v>"services.rtd.subscriptionError"</v>
      </c>
      <c r="K10" s="5" t="str">
        <f t="shared" ca="1" si="0"/>
        <v>"services.rtd.subscriptionError"</v>
      </c>
      <c r="L10" s="5" t="str">
        <f t="shared" ca="1" si="1"/>
        <v>"services.rtd.subscriptionError"</v>
      </c>
    </row>
    <row r="11" spans="1:12" x14ac:dyDescent="0.25">
      <c r="A11" s="11" t="str">
        <f ca="1">$A$2&amp;" FM"&amp;LEFT('cont list_bg'!G14,1)&amp;"00"&amp;RIGHT('cont list_bg'!G14,2)&amp;"!"</f>
        <v>SA3 FMH0028!</v>
      </c>
      <c r="B11" s="9" t="str">
        <f ca="1">RTD("tt.rtd",,"Inst",$B$1,$A11)</f>
        <v>6314259765637387886</v>
      </c>
      <c r="C11" s="10" t="str">
        <f ca="1">MID(RTD("tt.rtd",,$B11,C$2),7,1)&amp;MID(RTD("tt.rtd",,$B11,C$2),11,1)</f>
        <v>H8</v>
      </c>
      <c r="D11" s="10" t="str">
        <f ca="1">RTD("tt.rtd",,$B11,D$2)</f>
        <v>"services.rtd.subscriptionError"</v>
      </c>
      <c r="E11" s="10" t="str">
        <f ca="1">RTD("tt.rtd",,$B11,E$2)</f>
        <v>"services.rtd.subscriptionError"</v>
      </c>
      <c r="F11" s="10" t="str">
        <f ca="1">RTD("tt.rtd",,$B11,F$2)</f>
        <v>"services.rtd.subscriptionError"</v>
      </c>
      <c r="G11" s="10" t="str">
        <f ca="1">RTD("tt.rtd",,$B11,G$2)</f>
        <v>"services.rtd.subscriptionError"</v>
      </c>
      <c r="H11" s="10" t="str">
        <f ca="1">RTD("tt.rtd",,$B11,H$2)</f>
        <v>"services.rtd.subscriptionError"</v>
      </c>
      <c r="I11" s="10" t="str">
        <f ca="1">RTD("tt.rtd",,$B11,I$2)</f>
        <v>"services.rtd.subscriptionError"</v>
      </c>
      <c r="J11" s="10" t="str">
        <f ca="1">RTD("tt.rtd",,$B11,J$2)</f>
        <v>"services.rtd.subscriptionError"</v>
      </c>
      <c r="K11" s="5" t="str">
        <f t="shared" ca="1" si="0"/>
        <v>"services.rtd.subscriptionError"</v>
      </c>
      <c r="L11" s="5" t="str">
        <f t="shared" ca="1" si="1"/>
        <v>"services.rtd.subscriptionError"</v>
      </c>
    </row>
    <row r="12" spans="1:12" x14ac:dyDescent="0.25">
      <c r="A12" s="11" t="str">
        <f ca="1">$A$2&amp;" FM"&amp;LEFT('cont list_bg'!G15,1)&amp;"00"&amp;RIGHT('cont list_bg'!G15,2)&amp;"!"</f>
        <v>SA3 FMM0028!</v>
      </c>
      <c r="B12" s="9" t="str">
        <f ca="1">RTD("tt.rtd",,"Inst",$B$1,$A12)</f>
        <v>12197960486633385234</v>
      </c>
      <c r="C12" s="10" t="str">
        <f ca="1">MID(RTD("tt.rtd",,$B12,C$2),7,1)&amp;MID(RTD("tt.rtd",,$B12,C$2),11,1)</f>
        <v>M8</v>
      </c>
      <c r="D12" s="10" t="str">
        <f ca="1">RTD("tt.rtd",,$B12,D$2)</f>
        <v>"services.rtd.subscriptionError"</v>
      </c>
      <c r="E12" s="10" t="str">
        <f ca="1">RTD("tt.rtd",,$B12,E$2)</f>
        <v>"services.rtd.subscriptionError"</v>
      </c>
      <c r="F12" s="10" t="str">
        <f ca="1">RTD("tt.rtd",,$B12,F$2)</f>
        <v>"services.rtd.subscriptionError"</v>
      </c>
      <c r="G12" s="10" t="str">
        <f ca="1">RTD("tt.rtd",,$B12,G$2)</f>
        <v>"services.rtd.subscriptionError"</v>
      </c>
      <c r="H12" s="10" t="str">
        <f ca="1">RTD("tt.rtd",,$B12,H$2)</f>
        <v>"services.rtd.subscriptionError"</v>
      </c>
      <c r="I12" s="10" t="str">
        <f ca="1">RTD("tt.rtd",,$B12,I$2)</f>
        <v>"services.rtd.subscriptionError"</v>
      </c>
      <c r="J12" s="10" t="str">
        <f ca="1">RTD("tt.rtd",,$B12,J$2)</f>
        <v>"services.rtd.subscriptionError"</v>
      </c>
      <c r="K12" s="5" t="str">
        <f t="shared" ca="1" si="0"/>
        <v>"services.rtd.subscriptionError"</v>
      </c>
      <c r="L12" s="5" t="str">
        <f t="shared" ca="1" si="1"/>
        <v>"services.rtd.subscriptionError"</v>
      </c>
    </row>
    <row r="13" spans="1:12" x14ac:dyDescent="0.25">
      <c r="A13" s="11" t="str">
        <f ca="1">$A$2&amp;" FM"&amp;LEFT('cont list_bg'!G16,1)&amp;"00"&amp;RIGHT('cont list_bg'!G16,2)&amp;"!"</f>
        <v>SA3 FMU0028!</v>
      </c>
      <c r="B13" s="9" t="str">
        <f ca="1">RTD("tt.rtd",,"Inst",$B$1,$A13)</f>
        <v>12203053644589187435</v>
      </c>
      <c r="C13" s="10" t="str">
        <f ca="1">MID(RTD("tt.rtd",,$B13,C$2),7,1)&amp;MID(RTD("tt.rtd",,$B13,C$2),11,1)</f>
        <v>U8</v>
      </c>
      <c r="D13" s="10" t="str">
        <f ca="1">RTD("tt.rtd",,$B13,D$2)</f>
        <v>"services.rtd.subscriptionError"</v>
      </c>
      <c r="E13" s="10" t="str">
        <f ca="1">RTD("tt.rtd",,$B13,E$2)</f>
        <v>"services.rtd.subscriptionError"</v>
      </c>
      <c r="F13" s="10" t="str">
        <f ca="1">RTD("tt.rtd",,$B13,F$2)</f>
        <v>"services.rtd.subscriptionError"</v>
      </c>
      <c r="G13" s="10" t="str">
        <f ca="1">RTD("tt.rtd",,$B13,G$2)</f>
        <v>"services.rtd.subscriptionError"</v>
      </c>
      <c r="H13" s="10" t="str">
        <f ca="1">RTD("tt.rtd",,$B13,H$2)</f>
        <v>"services.rtd.subscriptionError"</v>
      </c>
      <c r="I13" s="10" t="str">
        <f ca="1">RTD("tt.rtd",,$B13,I$2)</f>
        <v>"services.rtd.subscriptionError"</v>
      </c>
      <c r="J13" s="10" t="str">
        <f ca="1">RTD("tt.rtd",,$B13,J$2)</f>
        <v>"services.rtd.subscriptionError"</v>
      </c>
      <c r="K13" s="5" t="str">
        <f t="shared" ca="1" si="0"/>
        <v>"services.rtd.subscriptionError"</v>
      </c>
      <c r="L13" s="5" t="str">
        <f t="shared" ca="1" si="1"/>
        <v>"services.rtd.subscriptionError"</v>
      </c>
    </row>
    <row r="14" spans="1:12" x14ac:dyDescent="0.25">
      <c r="A14" s="11" t="str">
        <f ca="1">$A$2&amp;" FM"&amp;LEFT('cont list_bg'!G17,1)&amp;"00"&amp;RIGHT('cont list_bg'!G17,2)&amp;"!"</f>
        <v>SA3 FMZ0028!</v>
      </c>
      <c r="B14" s="9" t="str">
        <f ca="1">RTD("tt.rtd",,"Inst",$B$1,$A14)</f>
        <v>14401575330262518877</v>
      </c>
      <c r="C14" s="10" t="str">
        <f ca="1">MID(RTD("tt.rtd",,$B14,C$2),7,1)&amp;MID(RTD("tt.rtd",,$B14,C$2),11,1)</f>
        <v>Z8</v>
      </c>
      <c r="D14" s="10" t="str">
        <f ca="1">RTD("tt.rtd",,$B14,D$2)</f>
        <v>"services.rtd.subscriptionError"</v>
      </c>
      <c r="E14" s="10" t="str">
        <f ca="1">RTD("tt.rtd",,$B14,E$2)</f>
        <v>"services.rtd.subscriptionError"</v>
      </c>
      <c r="F14" s="10" t="str">
        <f ca="1">RTD("tt.rtd",,$B14,F$2)</f>
        <v>"services.rtd.subscriptionError"</v>
      </c>
      <c r="G14" s="10" t="str">
        <f ca="1">RTD("tt.rtd",,$B14,G$2)</f>
        <v>"services.rtd.subscriptionError"</v>
      </c>
      <c r="H14" s="10" t="str">
        <f ca="1">RTD("tt.rtd",,$B14,H$2)</f>
        <v>"services.rtd.subscriptionError"</v>
      </c>
      <c r="I14" s="10" t="str">
        <f ca="1">RTD("tt.rtd",,$B14,I$2)</f>
        <v>"services.rtd.subscriptionError"</v>
      </c>
      <c r="J14" s="10" t="str">
        <f ca="1">RTD("tt.rtd",,$B14,J$2)</f>
        <v>"services.rtd.subscriptionError"</v>
      </c>
      <c r="K14" s="5" t="str">
        <f t="shared" ca="1" si="0"/>
        <v>"services.rtd.subscriptionError"</v>
      </c>
      <c r="L14" s="5" t="str">
        <f t="shared" ca="1" si="1"/>
        <v>"services.rtd.subscriptionError"</v>
      </c>
    </row>
    <row r="15" spans="1:12" x14ac:dyDescent="0.25">
      <c r="A15" s="11" t="str">
        <f ca="1">$A$2&amp;" FM"&amp;LEFT('cont list_bg'!G18,1)&amp;"00"&amp;RIGHT('cont list_bg'!G18,2)&amp;"!"</f>
        <v>SA3 FMH0029!</v>
      </c>
      <c r="B15" s="9" t="str">
        <f ca="1">RTD("tt.rtd",,"Inst",$B$1,$A15)</f>
        <v>6504067269185906303</v>
      </c>
      <c r="C15" s="10" t="str">
        <f ca="1">MID(RTD("tt.rtd",,$B15,C$2),7,1)&amp;MID(RTD("tt.rtd",,$B15,C$2),11,1)</f>
        <v>H9</v>
      </c>
      <c r="D15" s="10" t="str">
        <f ca="1">RTD("tt.rtd",,$B15,D$2)</f>
        <v>"services.rtd.subscriptionError"</v>
      </c>
      <c r="E15" s="10" t="str">
        <f ca="1">RTD("tt.rtd",,$B15,E$2)</f>
        <v>"services.rtd.subscriptionError"</v>
      </c>
      <c r="F15" s="10" t="str">
        <f ca="1">RTD("tt.rtd",,$B15,F$2)</f>
        <v>"services.rtd.subscriptionError"</v>
      </c>
      <c r="G15" s="10" t="str">
        <f ca="1">RTD("tt.rtd",,$B15,G$2)</f>
        <v>"services.rtd.subscriptionError"</v>
      </c>
      <c r="H15" s="10" t="str">
        <f ca="1">RTD("tt.rtd",,$B15,H$2)</f>
        <v>"services.rtd.subscriptionError"</v>
      </c>
      <c r="I15" s="10" t="str">
        <f ca="1">RTD("tt.rtd",,$B15,I$2)</f>
        <v>"services.rtd.subscriptionError"</v>
      </c>
      <c r="J15" s="10" t="str">
        <f ca="1">RTD("tt.rtd",,$B15,J$2)</f>
        <v>"services.rtd.subscriptionError"</v>
      </c>
      <c r="K15" s="5" t="str">
        <f t="shared" ca="1" si="0"/>
        <v>"services.rtd.subscriptionError"</v>
      </c>
      <c r="L15" s="5" t="str">
        <f t="shared" ca="1" si="1"/>
        <v>"services.rtd.subscriptionError"</v>
      </c>
    </row>
    <row r="16" spans="1:12" x14ac:dyDescent="0.25">
      <c r="A16" s="11" t="str">
        <f ca="1">$A$2&amp;" FM"&amp;LEFT('cont list_bg'!G19,1)&amp;"00"&amp;RIGHT('cont list_bg'!G19,2)&amp;"!"</f>
        <v>SA3 FMM0029!</v>
      </c>
      <c r="B16" s="9" t="str">
        <f ca="1">RTD("tt.rtd",,"Inst",$B$1,$A16)</f>
        <v>15117311257991458693</v>
      </c>
      <c r="C16" s="10" t="str">
        <f ca="1">MID(RTD("tt.rtd",,$B16,C$2),7,1)&amp;MID(RTD("tt.rtd",,$B16,C$2),11,1)</f>
        <v>M9</v>
      </c>
      <c r="D16" s="10" t="str">
        <f ca="1">RTD("tt.rtd",,$B16,D$2)</f>
        <v>"services.rtd.subscriptionError"</v>
      </c>
      <c r="E16" s="10" t="str">
        <f ca="1">RTD("tt.rtd",,$B16,E$2)</f>
        <v>"services.rtd.subscriptionError"</v>
      </c>
      <c r="F16" s="10" t="str">
        <f ca="1">RTD("tt.rtd",,$B16,F$2)</f>
        <v>"services.rtd.subscriptionError"</v>
      </c>
      <c r="G16" s="10" t="str">
        <f ca="1">RTD("tt.rtd",,$B16,G$2)</f>
        <v>"services.rtd.subscriptionError"</v>
      </c>
      <c r="H16" s="10" t="str">
        <f ca="1">RTD("tt.rtd",,$B16,H$2)</f>
        <v>"services.rtd.subscriptionError"</v>
      </c>
      <c r="I16" s="10" t="str">
        <f ca="1">RTD("tt.rtd",,$B16,I$2)</f>
        <v>"services.rtd.subscriptionError"</v>
      </c>
      <c r="J16" s="10" t="str">
        <f ca="1">RTD("tt.rtd",,$B16,J$2)</f>
        <v>"services.rtd.subscriptionError"</v>
      </c>
      <c r="K16" s="5" t="str">
        <f t="shared" ca="1" si="0"/>
        <v>"services.rtd.subscriptionError"</v>
      </c>
      <c r="L16" s="5" t="str">
        <f t="shared" ca="1" si="1"/>
        <v>"services.rtd.subscriptionError"</v>
      </c>
    </row>
    <row r="17" spans="1:12" x14ac:dyDescent="0.25">
      <c r="A17" s="11" t="str">
        <f ca="1">$A$2&amp;" FM"&amp;LEFT('cont list_bg'!G20,1)&amp;"00"&amp;RIGHT('cont list_bg'!G20,2)&amp;"!"</f>
        <v>SA3 FMU0029!</v>
      </c>
      <c r="B17" s="9" t="str">
        <f ca="1">RTD("tt.rtd",,"Inst",$B$1,$A17)</f>
        <v>6558853516677562258</v>
      </c>
      <c r="C17" s="10" t="str">
        <f ca="1">MID(RTD("tt.rtd",,$B17,C$2),7,1)&amp;MID(RTD("tt.rtd",,$B17,C$2),11,1)</f>
        <v>U9</v>
      </c>
      <c r="D17" s="10" t="str">
        <f ca="1">RTD("tt.rtd",,$B17,D$2)</f>
        <v>"services.rtd.subscriptionError"</v>
      </c>
      <c r="E17" s="10" t="str">
        <f ca="1">RTD("tt.rtd",,$B17,E$2)</f>
        <v>"services.rtd.subscriptionError"</v>
      </c>
      <c r="F17" s="10" t="str">
        <f ca="1">RTD("tt.rtd",,$B17,F$2)</f>
        <v>"services.rtd.subscriptionError"</v>
      </c>
      <c r="G17" s="10" t="str">
        <f ca="1">RTD("tt.rtd",,$B17,G$2)</f>
        <v>"services.rtd.subscriptionError"</v>
      </c>
      <c r="H17" s="10" t="str">
        <f ca="1">RTD("tt.rtd",,$B17,H$2)</f>
        <v>"services.rtd.subscriptionError"</v>
      </c>
      <c r="I17" s="10" t="str">
        <f ca="1">RTD("tt.rtd",,$B17,I$2)</f>
        <v>"services.rtd.subscriptionError"</v>
      </c>
      <c r="J17" s="10" t="str">
        <f ca="1">RTD("tt.rtd",,$B17,J$2)</f>
        <v>"services.rtd.subscriptionError"</v>
      </c>
      <c r="K17" s="5" t="str">
        <f t="shared" ca="1" si="0"/>
        <v>"services.rtd.subscriptionError"</v>
      </c>
      <c r="L17" s="5" t="str">
        <f t="shared" ca="1" si="1"/>
        <v>"services.rtd.subscriptionError"</v>
      </c>
    </row>
    <row r="18" spans="1:12" x14ac:dyDescent="0.25">
      <c r="A18" s="11" t="str">
        <f ca="1">$A$2&amp;" FM"&amp;LEFT('cont list_bg'!G21,1)&amp;"00"&amp;RIGHT('cont list_bg'!G21,2)&amp;"!"</f>
        <v>SA3 FMZ0029!</v>
      </c>
      <c r="B18" s="9" t="str">
        <f ca="1">RTD("tt.rtd",,"Inst",$B$1,$A18)</f>
        <v>18071176284543341830</v>
      </c>
      <c r="C18" s="10" t="str">
        <f ca="1">MID(RTD("tt.rtd",,$B18,C$2),7,1)&amp;MID(RTD("tt.rtd",,$B18,C$2),11,1)</f>
        <v>Z9</v>
      </c>
      <c r="D18" s="10" t="str">
        <f ca="1">RTD("tt.rtd",,$B18,D$2)</f>
        <v>"services.rtd.subscriptionError"</v>
      </c>
      <c r="E18" s="10" t="str">
        <f ca="1">RTD("tt.rtd",,$B18,E$2)</f>
        <v>"services.rtd.subscriptionError"</v>
      </c>
      <c r="F18" s="10" t="str">
        <f ca="1">RTD("tt.rtd",,$B18,F$2)</f>
        <v>"services.rtd.subscriptionError"</v>
      </c>
      <c r="G18" s="10" t="str">
        <f ca="1">RTD("tt.rtd",,$B18,G$2)</f>
        <v>"services.rtd.subscriptionError"</v>
      </c>
      <c r="H18" s="10" t="str">
        <f ca="1">RTD("tt.rtd",,$B18,H$2)</f>
        <v>"services.rtd.subscriptionError"</v>
      </c>
      <c r="I18" s="10" t="str">
        <f ca="1">RTD("tt.rtd",,$B18,I$2)</f>
        <v>"services.rtd.subscriptionError"</v>
      </c>
      <c r="J18" s="10" t="str">
        <f ca="1">RTD("tt.rtd",,$B18,J$2)</f>
        <v>"services.rtd.subscriptionError"</v>
      </c>
      <c r="K18" s="5" t="str">
        <f t="shared" ca="1" si="0"/>
        <v>"services.rtd.subscriptionError"</v>
      </c>
      <c r="L18" s="5" t="str">
        <f t="shared" ca="1" si="1"/>
        <v>"services.rtd.subscriptionError"</v>
      </c>
    </row>
    <row r="19" spans="1:12" x14ac:dyDescent="0.25">
      <c r="A19" s="11"/>
      <c r="B19" s="9"/>
      <c r="C19" s="10"/>
      <c r="D19" s="10"/>
      <c r="E19" s="10"/>
      <c r="F19" s="10"/>
      <c r="G19" s="10"/>
      <c r="H19" s="10"/>
      <c r="I19" s="10"/>
      <c r="J19" s="10"/>
      <c r="K19" s="5"/>
      <c r="L19" s="5"/>
    </row>
    <row r="20" spans="1:12" x14ac:dyDescent="0.25">
      <c r="A20" s="11"/>
      <c r="B20" s="9"/>
      <c r="C20" s="10"/>
      <c r="D20" s="10"/>
      <c r="E20" s="10"/>
      <c r="F20" s="10"/>
      <c r="G20" s="10"/>
      <c r="H20" s="10"/>
      <c r="I20" s="10"/>
      <c r="J20" s="10"/>
      <c r="K20" s="5"/>
      <c r="L20" s="5"/>
    </row>
    <row r="21" spans="1:12" x14ac:dyDescent="0.25">
      <c r="A21" s="11"/>
      <c r="B21" s="9"/>
      <c r="C21" s="10"/>
      <c r="D21" s="10"/>
      <c r="E21" s="10"/>
      <c r="F21" s="10"/>
      <c r="G21" s="10"/>
      <c r="H21" s="10"/>
      <c r="I21" s="10"/>
      <c r="J21" s="10"/>
      <c r="K21" s="5"/>
      <c r="L21" s="5"/>
    </row>
    <row r="22" spans="1:12" x14ac:dyDescent="0.25">
      <c r="A22" s="11"/>
      <c r="B22" s="9"/>
      <c r="C22" s="10"/>
      <c r="D22" s="10"/>
      <c r="E22" s="10"/>
      <c r="F22" s="10"/>
      <c r="G22" s="10"/>
      <c r="H22" s="10"/>
      <c r="I22" s="10"/>
      <c r="J22" s="10"/>
      <c r="K22" s="5"/>
      <c r="L22" s="5"/>
    </row>
    <row r="23" spans="1:12" x14ac:dyDescent="0.25">
      <c r="A23" s="11"/>
      <c r="B23" s="9"/>
      <c r="C23" s="10"/>
      <c r="D23" s="10"/>
      <c r="E23" s="10"/>
      <c r="F23" s="10"/>
      <c r="G23" s="10"/>
      <c r="H23" s="10"/>
      <c r="I23" s="10"/>
      <c r="J23" s="10"/>
      <c r="K23" s="5"/>
      <c r="L23" s="5"/>
    </row>
    <row r="24" spans="1:12" x14ac:dyDescent="0.25">
      <c r="A24" s="11"/>
      <c r="B24" s="9"/>
      <c r="C24" s="10"/>
      <c r="D24" s="10"/>
      <c r="E24" s="10"/>
      <c r="F24" s="10"/>
      <c r="G24" s="10"/>
      <c r="H24" s="10"/>
      <c r="I24" s="10"/>
      <c r="J24" s="10"/>
      <c r="K24" s="5"/>
      <c r="L24" s="5"/>
    </row>
    <row r="25" spans="1:12" x14ac:dyDescent="0.25">
      <c r="A25" s="11"/>
      <c r="B25" s="9"/>
      <c r="C25" s="10"/>
      <c r="D25" s="10"/>
      <c r="E25" s="10"/>
      <c r="F25" s="10"/>
      <c r="G25" s="10"/>
      <c r="H25" s="10"/>
      <c r="I25" s="10"/>
      <c r="J25" s="10"/>
      <c r="K25" s="5"/>
      <c r="L25" s="5"/>
    </row>
    <row r="26" spans="1:12" x14ac:dyDescent="0.25">
      <c r="A26" s="11"/>
      <c r="B26" s="9"/>
      <c r="C26" s="10"/>
      <c r="D26" s="10"/>
      <c r="E26" s="10"/>
      <c r="F26" s="10"/>
      <c r="G26" s="10"/>
      <c r="H26" s="10"/>
      <c r="I26" s="10"/>
      <c r="J26" s="10"/>
      <c r="K26" s="5"/>
      <c r="L26" s="5"/>
    </row>
    <row r="27" spans="1:12" x14ac:dyDescent="0.25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5"/>
      <c r="L27" s="5"/>
    </row>
    <row r="28" spans="1:12" x14ac:dyDescent="0.25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5"/>
      <c r="L2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6E03-3E6F-4F57-83E1-EF93E79C7208}">
  <dimension ref="A1:X44"/>
  <sheetViews>
    <sheetView workbookViewId="0">
      <selection activeCell="A3" sqref="A3:M5"/>
    </sheetView>
  </sheetViews>
  <sheetFormatPr defaultRowHeight="15" x14ac:dyDescent="0.25"/>
  <sheetData>
    <row r="1" spans="1:24" s="22" customFormat="1" x14ac:dyDescent="0.25">
      <c r="A1" s="28" t="s">
        <v>84</v>
      </c>
      <c r="B1" s="23" t="s">
        <v>98</v>
      </c>
      <c r="C1" s="23"/>
      <c r="K1" s="24"/>
      <c r="L1" s="24"/>
    </row>
    <row r="2" spans="1:24" s="1" customFormat="1" x14ac:dyDescent="0.25">
      <c r="A2" s="31" t="s">
        <v>84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24" x14ac:dyDescent="0.25">
      <c r="A3" s="11" t="str">
        <f ca="1">$A$2&amp;LEFT('cont list_bg'!G6,1)&amp;RIGHT('cont list_bg'!G6,1)</f>
        <v>CRAH6</v>
      </c>
      <c r="B3" s="9" t="str">
        <f ca="1">RTD("tt.rtd",,"Inst",$B$1,$A3)</f>
        <v>5228476373492902639</v>
      </c>
      <c r="C3" s="10" t="str">
        <f ca="1">RIGHT(RTD("tt.rtd",,$B3,C$2),2)</f>
        <v>H6</v>
      </c>
      <c r="D3" s="10" t="str">
        <f ca="1">RTD("tt.rtd",,$B3,D$2)</f>
        <v>97.71500</v>
      </c>
      <c r="E3" s="10" t="str">
        <f ca="1">RTD("tt.rtd",,$B3,E$2)</f>
        <v>97.71250</v>
      </c>
      <c r="F3" s="10" t="str">
        <f ca="1">RTD("tt.rtd",,$B3,F$2)</f>
        <v/>
      </c>
      <c r="G3" s="10">
        <f ca="1">RTD("tt.rtd",,$B3,G$2)</f>
        <v>0</v>
      </c>
      <c r="H3" s="10" t="str">
        <f ca="1">RTD("tt.rtd",,$B3,H$2)</f>
        <v>97.71250</v>
      </c>
      <c r="I3" s="10" t="str">
        <f ca="1">RTD("tt.rtd",,$B3,I$2)</f>
        <v>Open</v>
      </c>
      <c r="J3" s="10">
        <f ca="1">RTD("tt.rtd",,$B3,J$2)</f>
        <v>0</v>
      </c>
      <c r="K3" s="5">
        <f t="shared" ref="K3:K15" ca="1" si="0">IFERROR(IF(I3="Open",(E3+D3)/2,H3),H3)</f>
        <v>97.713750000000005</v>
      </c>
      <c r="L3" s="5">
        <f t="shared" ref="L3:L14" ca="1" si="1">IF(AND(I3="Open",G3&gt;0),F3,K3)</f>
        <v>97.713750000000005</v>
      </c>
      <c r="M3" s="27"/>
      <c r="Q3" s="5"/>
      <c r="R3" s="5"/>
      <c r="S3" s="5"/>
      <c r="T3" s="5"/>
      <c r="U3" s="5"/>
      <c r="V3" s="5"/>
      <c r="W3" s="5"/>
      <c r="X3" s="5"/>
    </row>
    <row r="4" spans="1:24" x14ac:dyDescent="0.25">
      <c r="A4" s="11" t="str">
        <f ca="1">$A$2&amp;LEFT('cont list_bg'!G7,1)&amp;RIGHT('cont list_bg'!G7,1)</f>
        <v>CRAM6</v>
      </c>
      <c r="B4" s="9" t="str">
        <f ca="1">RTD("tt.rtd",,"Inst",$B$1,$A4)</f>
        <v>11607487364946020404</v>
      </c>
      <c r="C4" s="10" t="str">
        <f ca="1">RIGHT(RTD("tt.rtd",,$B4,C$2),2)</f>
        <v>M6</v>
      </c>
      <c r="D4" s="10" t="str">
        <f ca="1">RTD("tt.rtd",,$B4,D$2)</f>
        <v>97.6800</v>
      </c>
      <c r="E4" s="10" t="str">
        <f ca="1">RTD("tt.rtd",,$B4,E$2)</f>
        <v>97.6750</v>
      </c>
      <c r="F4" s="10" t="str">
        <f ca="1">RTD("tt.rtd",,$B4,F$2)</f>
        <v>97.6800</v>
      </c>
      <c r="G4" s="10">
        <f ca="1">RTD("tt.rtd",,$B4,G$2)</f>
        <v>26</v>
      </c>
      <c r="H4" s="10" t="str">
        <f ca="1">RTD("tt.rtd",,$B4,H$2)</f>
        <v>97.6700</v>
      </c>
      <c r="I4" s="10" t="str">
        <f ca="1">RTD("tt.rtd",,$B4,I$2)</f>
        <v>Open</v>
      </c>
      <c r="J4" s="10">
        <f ca="1">RTD("tt.rtd",,$B4,J$2)</f>
        <v>26</v>
      </c>
      <c r="K4" s="5">
        <f t="shared" ca="1" si="0"/>
        <v>97.677500000000009</v>
      </c>
      <c r="L4" s="5" t="str">
        <f t="shared" ca="1" si="1"/>
        <v>97.6800</v>
      </c>
      <c r="Q4" s="5"/>
      <c r="R4" s="5"/>
      <c r="S4" s="5"/>
      <c r="T4" s="5"/>
      <c r="U4" s="5"/>
      <c r="V4" s="5"/>
      <c r="W4" s="5"/>
      <c r="X4" s="5"/>
    </row>
    <row r="5" spans="1:24" x14ac:dyDescent="0.25">
      <c r="A5" s="11" t="str">
        <f ca="1">$A$2&amp;LEFT('cont list_bg'!G8,1)&amp;RIGHT('cont list_bg'!G8,1)</f>
        <v>CRAU6</v>
      </c>
      <c r="B5" s="9" t="str">
        <f ca="1">RTD("tt.rtd",,"Inst",$B$1,$A5)</f>
        <v>2731941855341504934</v>
      </c>
      <c r="C5" s="10" t="str">
        <f ca="1">RIGHT(RTD("tt.rtd",,$B5,C$2),2)</f>
        <v>U6</v>
      </c>
      <c r="D5" s="10" t="str">
        <f ca="1">RTD("tt.rtd",,$B5,D$2)</f>
        <v>97.4750</v>
      </c>
      <c r="E5" s="10" t="str">
        <f ca="1">RTD("tt.rtd",,$B5,E$2)</f>
        <v>97.4700</v>
      </c>
      <c r="F5" s="10" t="str">
        <f ca="1">RTD("tt.rtd",,$B5,F$2)</f>
        <v>97.4700</v>
      </c>
      <c r="G5" s="10">
        <f ca="1">RTD("tt.rtd",,$B5,G$2)</f>
        <v>422</v>
      </c>
      <c r="H5" s="10" t="str">
        <f ca="1">RTD("tt.rtd",,$B5,H$2)</f>
        <v>97.4500</v>
      </c>
      <c r="I5" s="10" t="str">
        <f ca="1">RTD("tt.rtd",,$B5,I$2)</f>
        <v>Open</v>
      </c>
      <c r="J5" s="10">
        <f ca="1">RTD("tt.rtd",,$B5,J$2)</f>
        <v>422</v>
      </c>
      <c r="K5" s="5">
        <f t="shared" ca="1" si="0"/>
        <v>97.472499999999997</v>
      </c>
      <c r="L5" s="5" t="str">
        <f t="shared" ca="1" si="1"/>
        <v>97.4700</v>
      </c>
      <c r="Q5" s="5"/>
      <c r="R5" s="5"/>
      <c r="S5" s="5"/>
      <c r="T5" s="5"/>
      <c r="U5" s="5"/>
      <c r="V5" s="5"/>
      <c r="W5" s="5"/>
      <c r="X5" s="5"/>
    </row>
    <row r="6" spans="1:24" x14ac:dyDescent="0.25">
      <c r="A6" s="11" t="str">
        <f ca="1">$A$2&amp;LEFT('cont list_bg'!G9,1)&amp;RIGHT('cont list_bg'!G9,1)</f>
        <v>CRAZ6</v>
      </c>
      <c r="B6" s="9" t="str">
        <f ca="1">RTD("tt.rtd",,"Inst",$B$1,$A6)</f>
        <v>16116292756507691888</v>
      </c>
      <c r="C6" s="10" t="str">
        <f ca="1">RIGHT(RTD("tt.rtd",,$B6,C$2),2)</f>
        <v>Z6</v>
      </c>
      <c r="D6" s="10" t="str">
        <f ca="1">RTD("tt.rtd",,$B6,D$2)</f>
        <v>97.2250</v>
      </c>
      <c r="E6" s="10" t="str">
        <f ca="1">RTD("tt.rtd",,$B6,E$2)</f>
        <v>97.2200</v>
      </c>
      <c r="F6" s="10" t="str">
        <f ca="1">RTD("tt.rtd",,$B6,F$2)</f>
        <v>97.2200</v>
      </c>
      <c r="G6" s="10">
        <f ca="1">RTD("tt.rtd",,$B6,G$2)</f>
        <v>199</v>
      </c>
      <c r="H6" s="10" t="str">
        <f ca="1">RTD("tt.rtd",,$B6,H$2)</f>
        <v>97.1850</v>
      </c>
      <c r="I6" s="10" t="str">
        <f ca="1">RTD("tt.rtd",,$B6,I$2)</f>
        <v>Open</v>
      </c>
      <c r="J6" s="10">
        <f ca="1">RTD("tt.rtd",,$B6,J$2)</f>
        <v>199</v>
      </c>
      <c r="K6" s="5">
        <f t="shared" ca="1" si="0"/>
        <v>97.222499999999997</v>
      </c>
      <c r="L6" s="5" t="str">
        <f t="shared" ca="1" si="1"/>
        <v>97.2200</v>
      </c>
      <c r="Q6" s="5"/>
      <c r="R6" s="5"/>
      <c r="S6" s="5"/>
      <c r="T6" s="5"/>
      <c r="U6" s="5"/>
      <c r="V6" s="5"/>
      <c r="W6" s="5"/>
      <c r="X6" s="5"/>
    </row>
    <row r="7" spans="1:24" x14ac:dyDescent="0.25">
      <c r="A7" s="11" t="str">
        <f ca="1">$A$2&amp;LEFT('cont list_bg'!G10,1)&amp;RIGHT('cont list_bg'!G10,1)</f>
        <v>CRAH7</v>
      </c>
      <c r="B7" s="9" t="str">
        <f ca="1">RTD("tt.rtd",,"Inst",$B$1,$A7)</f>
        <v>1079631362856262921</v>
      </c>
      <c r="C7" s="10" t="str">
        <f ca="1">RIGHT(RTD("tt.rtd",,$B7,C$2),2)</f>
        <v>H7</v>
      </c>
      <c r="D7" s="10" t="str">
        <f ca="1">RTD("tt.rtd",,$B7,D$2)</f>
        <v>97.0050</v>
      </c>
      <c r="E7" s="10" t="str">
        <f ca="1">RTD("tt.rtd",,$B7,E$2)</f>
        <v>97.0000</v>
      </c>
      <c r="F7" s="10" t="str">
        <f ca="1">RTD("tt.rtd",,$B7,F$2)</f>
        <v>97.0050</v>
      </c>
      <c r="G7" s="10">
        <f ca="1">RTD("tt.rtd",,$B7,G$2)</f>
        <v>1018</v>
      </c>
      <c r="H7" s="10" t="str">
        <f ca="1">RTD("tt.rtd",,$B7,H$2)</f>
        <v>96.9550</v>
      </c>
      <c r="I7" s="10" t="str">
        <f ca="1">RTD("tt.rtd",,$B7,I$2)</f>
        <v>Open</v>
      </c>
      <c r="J7" s="10">
        <f ca="1">RTD("tt.rtd",,$B7,J$2)</f>
        <v>1018</v>
      </c>
      <c r="K7" s="5">
        <f t="shared" ca="1" si="0"/>
        <v>97.002499999999998</v>
      </c>
      <c r="L7" s="5" t="str">
        <f t="shared" ca="1" si="1"/>
        <v>97.0050</v>
      </c>
      <c r="Q7" s="5"/>
      <c r="R7" s="5"/>
      <c r="S7" s="5"/>
      <c r="T7" s="5"/>
      <c r="U7" s="5"/>
      <c r="V7" s="5"/>
      <c r="W7" s="5"/>
      <c r="X7" s="5"/>
    </row>
    <row r="8" spans="1:24" x14ac:dyDescent="0.25">
      <c r="A8" s="11" t="str">
        <f ca="1">$A$2&amp;LEFT('cont list_bg'!G11,1)&amp;RIGHT('cont list_bg'!G11,1)</f>
        <v>CRAM7</v>
      </c>
      <c r="B8" s="9" t="str">
        <f ca="1">RTD("tt.rtd",,"Inst",$B$1,$A8)</f>
        <v>8219882023429969</v>
      </c>
      <c r="C8" s="10" t="str">
        <f ca="1">RIGHT(RTD("tt.rtd",,$B8,C$2),2)</f>
        <v>M7</v>
      </c>
      <c r="D8" s="10" t="str">
        <f ca="1">RTD("tt.rtd",,$B8,D$2)</f>
        <v>96.8850</v>
      </c>
      <c r="E8" s="10" t="str">
        <f ca="1">RTD("tt.rtd",,$B8,E$2)</f>
        <v>96.8800</v>
      </c>
      <c r="F8" s="10" t="str">
        <f ca="1">RTD("tt.rtd",,$B8,F$2)</f>
        <v>96.8850</v>
      </c>
      <c r="G8" s="10">
        <f ca="1">RTD("tt.rtd",,$B8,G$2)</f>
        <v>9</v>
      </c>
      <c r="H8" s="10" t="str">
        <f ca="1">RTD("tt.rtd",,$B8,H$2)</f>
        <v>96.8200</v>
      </c>
      <c r="I8" s="10" t="str">
        <f ca="1">RTD("tt.rtd",,$B8,I$2)</f>
        <v>Open</v>
      </c>
      <c r="J8" s="10">
        <f ca="1">RTD("tt.rtd",,$B8,J$2)</f>
        <v>9</v>
      </c>
      <c r="K8" s="5">
        <f t="shared" ca="1" si="0"/>
        <v>96.882499999999993</v>
      </c>
      <c r="L8" s="5" t="str">
        <f t="shared" ca="1" si="1"/>
        <v>96.8850</v>
      </c>
      <c r="Q8" s="5"/>
      <c r="R8" s="5"/>
      <c r="S8" s="5"/>
      <c r="T8" s="5"/>
      <c r="U8" s="5"/>
      <c r="V8" s="5"/>
      <c r="W8" s="5"/>
      <c r="X8" s="5"/>
    </row>
    <row r="9" spans="1:24" x14ac:dyDescent="0.25">
      <c r="A9" s="11" t="str">
        <f ca="1">$A$2&amp;LEFT('cont list_bg'!G12,1)&amp;RIGHT('cont list_bg'!G12,1)</f>
        <v>CRAU7</v>
      </c>
      <c r="B9" s="9" t="str">
        <f ca="1">RTD("tt.rtd",,"Inst",$B$1,$A9)</f>
        <v>15050487581241061067</v>
      </c>
      <c r="C9" s="10" t="str">
        <f ca="1">RIGHT(RTD("tt.rtd",,$B9,C$2),2)</f>
        <v>U7</v>
      </c>
      <c r="D9" s="10" t="str">
        <f ca="1">RTD("tt.rtd",,$B9,D$2)</f>
        <v>96.8350</v>
      </c>
      <c r="E9" s="10" t="str">
        <f ca="1">RTD("tt.rtd",,$B9,E$2)</f>
        <v>96.8300</v>
      </c>
      <c r="F9" s="10" t="str">
        <f ca="1">RTD("tt.rtd",,$B9,F$2)</f>
        <v>96.8350</v>
      </c>
      <c r="G9" s="10">
        <f ca="1">RTD("tt.rtd",,$B9,G$2)</f>
        <v>1085</v>
      </c>
      <c r="H9" s="10" t="str">
        <f ca="1">RTD("tt.rtd",,$B9,H$2)</f>
        <v>96.7700</v>
      </c>
      <c r="I9" s="10" t="str">
        <f ca="1">RTD("tt.rtd",,$B9,I$2)</f>
        <v>Open</v>
      </c>
      <c r="J9" s="10">
        <f ca="1">RTD("tt.rtd",,$B9,J$2)</f>
        <v>1085</v>
      </c>
      <c r="K9" s="5">
        <f t="shared" ca="1" si="0"/>
        <v>96.832499999999996</v>
      </c>
      <c r="L9" s="5" t="str">
        <f t="shared" ca="1" si="1"/>
        <v>96.8350</v>
      </c>
      <c r="Q9" s="5"/>
      <c r="R9" s="5"/>
      <c r="S9" s="5"/>
      <c r="T9" s="5"/>
      <c r="U9" s="5"/>
      <c r="V9" s="5"/>
      <c r="W9" s="5"/>
      <c r="X9" s="5"/>
    </row>
    <row r="10" spans="1:24" x14ac:dyDescent="0.25">
      <c r="A10" s="11" t="str">
        <f ca="1">$A$2&amp;LEFT('cont list_bg'!G13,1)&amp;RIGHT('cont list_bg'!G13,1)</f>
        <v>CRAZ7</v>
      </c>
      <c r="B10" s="9" t="str">
        <f ca="1">RTD("tt.rtd",,"Inst",$B$1,$A10)</f>
        <v>14449049893797955023</v>
      </c>
      <c r="C10" s="10" t="str">
        <f ca="1">RIGHT(RTD("tt.rtd",,$B10,C$2),2)</f>
        <v>Z7</v>
      </c>
      <c r="D10" s="10" t="str">
        <f ca="1">RTD("tt.rtd",,$B10,D$2)</f>
        <v>96.8150</v>
      </c>
      <c r="E10" s="10" t="str">
        <f ca="1">RTD("tt.rtd",,$B10,E$2)</f>
        <v>96.8100</v>
      </c>
      <c r="F10" s="10" t="str">
        <f ca="1">RTD("tt.rtd",,$B10,F$2)</f>
        <v>96.8150</v>
      </c>
      <c r="G10" s="10">
        <f ca="1">RTD("tt.rtd",,$B10,G$2)</f>
        <v>93</v>
      </c>
      <c r="H10" s="10" t="str">
        <f ca="1">RTD("tt.rtd",,$B10,H$2)</f>
        <v>96.7500</v>
      </c>
      <c r="I10" s="10" t="str">
        <f ca="1">RTD("tt.rtd",,$B10,I$2)</f>
        <v>Open</v>
      </c>
      <c r="J10" s="10">
        <f ca="1">RTD("tt.rtd",,$B10,J$2)</f>
        <v>93</v>
      </c>
      <c r="K10" s="5">
        <f t="shared" ca="1" si="0"/>
        <v>96.8125</v>
      </c>
      <c r="L10" s="5" t="str">
        <f t="shared" ca="1" si="1"/>
        <v>96.8150</v>
      </c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11" t="str">
        <f ca="1">$A$2&amp;LEFT('cont list_bg'!G14,1)&amp;RIGHT('cont list_bg'!G14,1)</f>
        <v>CRAH8</v>
      </c>
      <c r="B11" s="9" t="str">
        <f ca="1">RTD("tt.rtd",,"Inst",$B$1,$A11)</f>
        <v>1605356167456418889</v>
      </c>
      <c r="C11" s="10" t="str">
        <f ca="1">RIGHT(RTD("tt.rtd",,$B11,C$2),2)</f>
        <v>H8</v>
      </c>
      <c r="D11" s="10" t="str">
        <f ca="1">RTD("tt.rtd",,$B11,D$2)</f>
        <v>96.7850</v>
      </c>
      <c r="E11" s="10" t="str">
        <f ca="1">RTD("tt.rtd",,$B11,E$2)</f>
        <v>96.7800</v>
      </c>
      <c r="F11" s="10" t="str">
        <f ca="1">RTD("tt.rtd",,$B11,F$2)</f>
        <v>96.7850</v>
      </c>
      <c r="G11" s="10">
        <f ca="1">RTD("tt.rtd",,$B11,G$2)</f>
        <v>77</v>
      </c>
      <c r="H11" s="10" t="str">
        <f ca="1">RTD("tt.rtd",,$B11,H$2)</f>
        <v>96.7200</v>
      </c>
      <c r="I11" s="10" t="str">
        <f ca="1">RTD("tt.rtd",,$B11,I$2)</f>
        <v>Open</v>
      </c>
      <c r="J11" s="10">
        <f ca="1">RTD("tt.rtd",,$B11,J$2)</f>
        <v>77</v>
      </c>
      <c r="K11" s="5">
        <f t="shared" ca="1" si="0"/>
        <v>96.782499999999999</v>
      </c>
      <c r="L11" s="5" t="str">
        <f t="shared" ca="1" si="1"/>
        <v>96.7850</v>
      </c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11" t="str">
        <f ca="1">$A$2&amp;LEFT('cont list_bg'!G15,1)&amp;RIGHT('cont list_bg'!G15,1)</f>
        <v>CRAM8</v>
      </c>
      <c r="B12" s="9" t="str">
        <f ca="1">RTD("tt.rtd",,"Inst",$B$1,$A12)</f>
        <v>10341135123007474384</v>
      </c>
      <c r="C12" s="10" t="str">
        <f ca="1">RIGHT(RTD("tt.rtd",,$B12,C$2),2)</f>
        <v>M8</v>
      </c>
      <c r="D12" s="10" t="str">
        <f ca="1">RTD("tt.rtd",,$B12,D$2)</f>
        <v>96.7700</v>
      </c>
      <c r="E12" s="10" t="str">
        <f ca="1">RTD("tt.rtd",,$B12,E$2)</f>
        <v>96.7650</v>
      </c>
      <c r="F12" s="10" t="str">
        <f ca="1">RTD("tt.rtd",,$B12,F$2)</f>
        <v>96.7700</v>
      </c>
      <c r="G12" s="10">
        <f ca="1">RTD("tt.rtd",,$B12,G$2)</f>
        <v>90</v>
      </c>
      <c r="H12" s="10" t="str">
        <f ca="1">RTD("tt.rtd",,$B12,H$2)</f>
        <v>96.7050</v>
      </c>
      <c r="I12" s="10" t="str">
        <f ca="1">RTD("tt.rtd",,$B12,I$2)</f>
        <v>Open</v>
      </c>
      <c r="J12" s="10">
        <f ca="1">RTD("tt.rtd",,$B12,J$2)</f>
        <v>90</v>
      </c>
      <c r="K12" s="5">
        <f t="shared" ca="1" si="0"/>
        <v>96.767499999999998</v>
      </c>
      <c r="L12" s="5" t="str">
        <f t="shared" ca="1" si="1"/>
        <v>96.7700</v>
      </c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11" t="str">
        <f ca="1">$A$2&amp;LEFT('cont list_bg'!G16,1)&amp;RIGHT('cont list_bg'!G16,1)</f>
        <v>CRAU8</v>
      </c>
      <c r="B13" s="9" t="str">
        <f ca="1">RTD("tt.rtd",,"Inst",$B$1,$A13)</f>
        <v>2953900796497171980</v>
      </c>
      <c r="C13" s="10" t="str">
        <f ca="1">RIGHT(RTD("tt.rtd",,$B13,C$2),2)</f>
        <v>U8</v>
      </c>
      <c r="D13" s="10" t="str">
        <f ca="1">RTD("tt.rtd",,$B13,D$2)</f>
        <v>96.7650</v>
      </c>
      <c r="E13" s="10" t="str">
        <f ca="1">RTD("tt.rtd",,$B13,E$2)</f>
        <v>96.7550</v>
      </c>
      <c r="F13" s="10" t="str">
        <f ca="1">RTD("tt.rtd",,$B13,F$2)</f>
        <v>96.7600</v>
      </c>
      <c r="G13" s="10">
        <f ca="1">RTD("tt.rtd",,$B13,G$2)</f>
        <v>1</v>
      </c>
      <c r="H13" s="10" t="str">
        <f ca="1">RTD("tt.rtd",,$B13,H$2)</f>
        <v>96.7050</v>
      </c>
      <c r="I13" s="10" t="str">
        <f ca="1">RTD("tt.rtd",,$B13,I$2)</f>
        <v>Open</v>
      </c>
      <c r="J13" s="10">
        <f ca="1">RTD("tt.rtd",,$B13,J$2)</f>
        <v>1</v>
      </c>
      <c r="K13" s="5">
        <f t="shared" ca="1" si="0"/>
        <v>96.759999999999991</v>
      </c>
      <c r="L13" s="5" t="str">
        <f t="shared" ca="1" si="1"/>
        <v>96.7600</v>
      </c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11" t="str">
        <f ca="1">$A$2&amp;LEFT('cont list_bg'!G17,1)&amp;RIGHT('cont list_bg'!G17,1)</f>
        <v>CRAZ8</v>
      </c>
      <c r="B14" s="9" t="str">
        <f ca="1">RTD("tt.rtd",,"Inst",$B$1,$A14)</f>
        <v>15227833694171614065</v>
      </c>
      <c r="C14" s="10" t="str">
        <f ca="1">RIGHT(RTD("tt.rtd",,$B14,C$2),2)</f>
        <v>Z8</v>
      </c>
      <c r="D14" s="10" t="str">
        <f ca="1">RTD("tt.rtd",,$B14,D$2)</f>
        <v>96.7600</v>
      </c>
      <c r="E14" s="10" t="str">
        <f ca="1">RTD("tt.rtd",,$B14,E$2)</f>
        <v>96.7500</v>
      </c>
      <c r="F14" s="10" t="str">
        <f ca="1">RTD("tt.rtd",,$B14,F$2)</f>
        <v>96.7500</v>
      </c>
      <c r="G14" s="10">
        <f ca="1">RTD("tt.rtd",,$B14,G$2)</f>
        <v>9</v>
      </c>
      <c r="H14" s="10" t="str">
        <f ca="1">RTD("tt.rtd",,$B14,H$2)</f>
        <v>96.7050</v>
      </c>
      <c r="I14" s="10" t="str">
        <f ca="1">RTD("tt.rtd",,$B14,I$2)</f>
        <v>Open</v>
      </c>
      <c r="J14" s="10">
        <f ca="1">RTD("tt.rtd",,$B14,J$2)</f>
        <v>9</v>
      </c>
      <c r="K14" s="5">
        <f t="shared" ca="1" si="0"/>
        <v>96.754999999999995</v>
      </c>
      <c r="L14" s="5" t="str">
        <f t="shared" ca="1" si="1"/>
        <v>96.7500</v>
      </c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11" t="str">
        <f ca="1">$A$2&amp;LEFT('cont list_bg'!G18,1)&amp;RIGHT('cont list_bg'!G18,1)</f>
        <v>CRAH9</v>
      </c>
      <c r="B15" s="9" t="str">
        <f ca="1">RTD("tt.rtd",,"Inst",$B$1,$A15)</f>
        <v>"services.rtd.failedToFindInstrument"</v>
      </c>
      <c r="C15" s="10" t="str">
        <f ca="1">RIGHT(RTD("tt.rtd",,$B15,C$2),2)</f>
        <v>t"</v>
      </c>
      <c r="D15" s="10" t="str">
        <f ca="1">RTD("tt.rtd",,$B15,D$2)</f>
        <v>"services.rtd.invalidInstrumentFormat"</v>
      </c>
      <c r="E15" s="10" t="str">
        <f ca="1">RTD("tt.rtd",,$B15,E$2)</f>
        <v>"services.rtd.invalidInstrumentFormat"</v>
      </c>
      <c r="F15" s="10" t="str">
        <f ca="1">RTD("tt.rtd",,$B15,F$2)</f>
        <v>"services.rtd.invalidInstrumentFormat"</v>
      </c>
      <c r="G15" s="10" t="str">
        <f ca="1">RTD("tt.rtd",,$B15,G$2)</f>
        <v>"services.rtd.invalidInstrumentFormat"</v>
      </c>
      <c r="H15" s="10" t="str">
        <f ca="1">RTD("tt.rtd",,$B15,H$2)</f>
        <v>"services.rtd.invalidInstrumentFormat"</v>
      </c>
      <c r="I15" s="10" t="str">
        <f ca="1">RTD("tt.rtd",,$B15,I$2)</f>
        <v>"services.rtd.invalidInstrumentFormat"</v>
      </c>
      <c r="J15" s="10" t="str">
        <f ca="1">RTD("tt.rtd",,$B15,J$2)</f>
        <v>"services.rtd.invalidInstrumentFormat"</v>
      </c>
      <c r="K15" s="5" t="str">
        <f t="shared" ca="1" si="0"/>
        <v>"services.rtd.invalidInstrumentFormat"</v>
      </c>
      <c r="L15" s="5" t="str">
        <f t="shared" ref="L15" ca="1" si="2">IF(AND(I15="Open",G15&gt;0),F15,K15)</f>
        <v>"services.rtd.invalidInstrumentFormat"</v>
      </c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11"/>
      <c r="B16" s="9"/>
      <c r="C16" s="10"/>
      <c r="D16" s="10"/>
      <c r="E16" s="10"/>
      <c r="F16" s="10"/>
      <c r="G16" s="10"/>
      <c r="H16" s="10"/>
      <c r="I16" s="10"/>
      <c r="J16" s="10"/>
      <c r="K16" s="5"/>
      <c r="L16" s="5"/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11"/>
      <c r="B17" s="9"/>
      <c r="C17" s="10"/>
      <c r="D17" s="10"/>
      <c r="E17" s="10"/>
      <c r="F17" s="10"/>
      <c r="G17" s="10"/>
      <c r="H17" s="10"/>
      <c r="I17" s="10"/>
      <c r="J17" s="10"/>
      <c r="K17" s="5"/>
      <c r="L17" s="5"/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11"/>
      <c r="B18" s="9"/>
      <c r="C18" s="10"/>
      <c r="D18" s="10"/>
      <c r="E18" s="10"/>
      <c r="F18" s="10"/>
      <c r="G18" s="10"/>
      <c r="H18" s="10"/>
      <c r="I18" s="10"/>
      <c r="J18" s="10"/>
      <c r="K18" s="5"/>
      <c r="L18" s="5"/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11"/>
      <c r="B19" s="9"/>
      <c r="C19" s="10"/>
      <c r="D19" s="10"/>
      <c r="E19" s="10"/>
      <c r="F19" s="10"/>
      <c r="G19" s="10"/>
      <c r="H19" s="10"/>
      <c r="I19" s="10"/>
      <c r="J19" s="10"/>
      <c r="K19" s="5"/>
      <c r="L19" s="5"/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11"/>
      <c r="B20" s="9"/>
      <c r="C20" s="10"/>
      <c r="D20" s="10"/>
      <c r="E20" s="10"/>
      <c r="F20" s="10"/>
      <c r="G20" s="10"/>
      <c r="H20" s="10"/>
      <c r="I20" s="10"/>
      <c r="J20" s="10"/>
      <c r="K20" s="5"/>
      <c r="L20" s="5"/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11"/>
      <c r="B21" s="9"/>
      <c r="C21" s="10"/>
      <c r="D21" s="10"/>
      <c r="E21" s="10"/>
      <c r="F21" s="10"/>
      <c r="G21" s="10"/>
      <c r="H21" s="10"/>
      <c r="I21" s="10"/>
      <c r="J21" s="10"/>
      <c r="K21" s="5"/>
      <c r="L21" s="5"/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11"/>
      <c r="B22" s="9"/>
      <c r="C22" s="10"/>
      <c r="D22" s="10"/>
      <c r="E22" s="10"/>
      <c r="F22" s="10"/>
      <c r="G22" s="10"/>
      <c r="H22" s="10"/>
      <c r="I22" s="10"/>
      <c r="J22" s="10"/>
      <c r="K22" s="5"/>
      <c r="L22" s="5"/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11"/>
      <c r="B23" s="9"/>
      <c r="C23" s="10"/>
      <c r="D23" s="10"/>
      <c r="E23" s="10"/>
      <c r="F23" s="10"/>
      <c r="G23" s="10"/>
      <c r="H23" s="10"/>
      <c r="I23" s="10"/>
      <c r="J23" s="10"/>
      <c r="K23" s="5"/>
      <c r="L23" s="5"/>
      <c r="Q23" s="5"/>
      <c r="R23" s="5"/>
      <c r="S23" s="5"/>
      <c r="T23" s="5"/>
      <c r="U23" s="5"/>
      <c r="V23" s="5"/>
      <c r="W23" s="5"/>
      <c r="X23" s="5"/>
    </row>
    <row r="24" spans="1:24" x14ac:dyDescent="0.25">
      <c r="A24" s="11"/>
      <c r="B24" s="9"/>
      <c r="C24" s="10"/>
      <c r="D24" s="10"/>
      <c r="E24" s="10"/>
      <c r="F24" s="10"/>
      <c r="G24" s="10"/>
      <c r="H24" s="10"/>
      <c r="I24" s="10"/>
      <c r="J24" s="10"/>
      <c r="K24" s="5"/>
      <c r="L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11"/>
      <c r="B25" s="9"/>
      <c r="C25" s="10"/>
      <c r="D25" s="10"/>
      <c r="E25" s="10"/>
      <c r="F25" s="10"/>
      <c r="G25" s="10"/>
      <c r="H25" s="10"/>
      <c r="I25" s="10"/>
      <c r="J25" s="10"/>
      <c r="K25" s="5"/>
      <c r="L25" s="5"/>
      <c r="Q25" s="5"/>
      <c r="R25" s="5"/>
      <c r="S25" s="5"/>
      <c r="T25" s="5"/>
      <c r="U25" s="5"/>
      <c r="V25" s="5"/>
      <c r="W25" s="5"/>
      <c r="X25" s="5"/>
    </row>
    <row r="26" spans="1:24" x14ac:dyDescent="0.25">
      <c r="A26" s="11"/>
      <c r="B26" s="9"/>
      <c r="C26" s="10"/>
      <c r="D26" s="10"/>
      <c r="E26" s="10"/>
      <c r="F26" s="10"/>
      <c r="G26" s="10"/>
      <c r="H26" s="10"/>
      <c r="I26" s="10"/>
      <c r="J26" s="10"/>
      <c r="K26" s="5"/>
      <c r="L26" s="5"/>
      <c r="Q26" s="5"/>
      <c r="R26" s="5"/>
      <c r="S26" s="5"/>
      <c r="T26" s="5"/>
      <c r="U26" s="5"/>
      <c r="V26" s="5"/>
      <c r="W26" s="5"/>
      <c r="X26" s="5"/>
    </row>
    <row r="27" spans="1:24" x14ac:dyDescent="0.25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5"/>
      <c r="L27" s="5"/>
      <c r="Q27" s="5"/>
      <c r="R27" s="5"/>
      <c r="S27" s="5"/>
      <c r="T27" s="5"/>
      <c r="U27" s="5"/>
      <c r="V27" s="5"/>
      <c r="W27" s="5"/>
      <c r="X27" s="5"/>
    </row>
    <row r="28" spans="1:24" x14ac:dyDescent="0.25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5"/>
      <c r="L28" s="5"/>
    </row>
    <row r="29" spans="1:24" x14ac:dyDescent="0.25">
      <c r="A29" s="11"/>
      <c r="B29" s="9"/>
      <c r="C29" s="9"/>
      <c r="D29" s="10"/>
      <c r="E29" s="10"/>
      <c r="F29" s="10"/>
      <c r="G29" s="10"/>
      <c r="H29" s="10"/>
      <c r="I29" s="10"/>
      <c r="J29" s="10"/>
      <c r="K29" s="5"/>
      <c r="L29" s="5"/>
    </row>
    <row r="30" spans="1:24" x14ac:dyDescent="0.25">
      <c r="A30" s="11"/>
      <c r="B30" s="9"/>
      <c r="C30" s="9"/>
      <c r="D30" s="10"/>
      <c r="E30" s="10"/>
      <c r="F30" s="10"/>
      <c r="G30" s="10"/>
      <c r="H30" s="10"/>
      <c r="I30" s="10"/>
      <c r="J30" s="10"/>
      <c r="K30" s="5"/>
      <c r="L30" s="5"/>
    </row>
    <row r="31" spans="1:24" x14ac:dyDescent="0.25">
      <c r="A31" s="11"/>
      <c r="B31" s="9"/>
      <c r="C31" s="9"/>
      <c r="D31" s="10"/>
      <c r="E31" s="10"/>
      <c r="F31" s="10"/>
      <c r="G31" s="10"/>
      <c r="H31" s="10"/>
      <c r="I31" s="10"/>
      <c r="J31" s="10"/>
      <c r="K31" s="5"/>
      <c r="L31" s="5"/>
    </row>
    <row r="32" spans="1:24" x14ac:dyDescent="0.25">
      <c r="A32" s="11"/>
      <c r="B32" s="9"/>
      <c r="C32" s="9"/>
      <c r="D32" s="10"/>
      <c r="E32" s="10"/>
      <c r="F32" s="10"/>
      <c r="G32" s="10"/>
      <c r="H32" s="10"/>
      <c r="I32" s="10"/>
      <c r="J32" s="10"/>
      <c r="K32" s="5"/>
      <c r="L32" s="5"/>
    </row>
    <row r="33" spans="1:12" x14ac:dyDescent="0.25">
      <c r="A33" s="11"/>
      <c r="B33" s="9"/>
      <c r="C33" s="9"/>
      <c r="D33" s="10"/>
      <c r="E33" s="10"/>
      <c r="F33" s="10"/>
      <c r="G33" s="10"/>
      <c r="H33" s="10"/>
      <c r="I33" s="10"/>
      <c r="J33" s="10"/>
      <c r="K33" s="5"/>
      <c r="L33" s="5"/>
    </row>
    <row r="34" spans="1:12" x14ac:dyDescent="0.25">
      <c r="A34" s="11"/>
      <c r="B34" s="9"/>
      <c r="C34" s="9"/>
      <c r="D34" s="10"/>
      <c r="E34" s="10"/>
      <c r="F34" s="10"/>
      <c r="G34" s="10"/>
      <c r="H34" s="10"/>
      <c r="I34" s="10"/>
      <c r="J34" s="10"/>
      <c r="K34" s="5"/>
      <c r="L34" s="5"/>
    </row>
    <row r="35" spans="1:12" x14ac:dyDescent="0.25">
      <c r="A35" s="11"/>
      <c r="B35" s="9"/>
      <c r="C35" s="9"/>
      <c r="D35" s="10"/>
      <c r="E35" s="10"/>
      <c r="F35" s="10"/>
      <c r="G35" s="10"/>
      <c r="H35" s="10"/>
      <c r="I35" s="10"/>
      <c r="J35" s="10"/>
      <c r="K35" s="5"/>
      <c r="L35" s="5"/>
    </row>
    <row r="36" spans="1:12" x14ac:dyDescent="0.25">
      <c r="A36" s="11"/>
    </row>
    <row r="37" spans="1:12" x14ac:dyDescent="0.25">
      <c r="A37" s="11"/>
    </row>
    <row r="38" spans="1:12" x14ac:dyDescent="0.25">
      <c r="A38" s="11"/>
    </row>
    <row r="39" spans="1:12" x14ac:dyDescent="0.25">
      <c r="A39" s="11"/>
    </row>
    <row r="40" spans="1:12" x14ac:dyDescent="0.25">
      <c r="A40" s="11"/>
    </row>
    <row r="41" spans="1:12" x14ac:dyDescent="0.25">
      <c r="A41" s="11"/>
    </row>
    <row r="42" spans="1:12" x14ac:dyDescent="0.25">
      <c r="A42" s="11"/>
    </row>
    <row r="43" spans="1:12" x14ac:dyDescent="0.25">
      <c r="A43" s="11"/>
    </row>
    <row r="44" spans="1:12" x14ac:dyDescent="0.25">
      <c r="A4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AC09-D8E8-4607-9008-7FE5569A7A9E}">
  <dimension ref="A1:L26"/>
  <sheetViews>
    <sheetView workbookViewId="0">
      <selection activeCell="E17" sqref="E17"/>
    </sheetView>
  </sheetViews>
  <sheetFormatPr defaultRowHeight="15" x14ac:dyDescent="0.25"/>
  <cols>
    <col min="1" max="1" width="15.28515625" customWidth="1"/>
  </cols>
  <sheetData>
    <row r="1" spans="1:12" x14ac:dyDescent="0.25">
      <c r="A1" s="22" t="s">
        <v>307</v>
      </c>
      <c r="B1" s="23" t="s">
        <v>0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307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A3" t="str">
        <f ca="1">RIGHT('SR3'!A3,2)</f>
        <v>H6</v>
      </c>
      <c r="C3" t="str">
        <f ca="1">'SR3'!C3</f>
        <v>H6</v>
      </c>
      <c r="H3" t="e">
        <f ca="1">'SR3'!H3-'SO3'!H3</f>
        <v>#VALUE!</v>
      </c>
      <c r="K3" s="5" t="e">
        <f ca="1">'SR3'!K3-'SO3'!K3</f>
        <v>#VALUE!</v>
      </c>
    </row>
    <row r="4" spans="1:12" x14ac:dyDescent="0.25">
      <c r="A4" t="str">
        <f ca="1">RIGHT('SR3'!A4,2)</f>
        <v>M6</v>
      </c>
      <c r="C4" t="str">
        <f ca="1">'SR3'!C4</f>
        <v>M6</v>
      </c>
      <c r="H4" t="e">
        <f ca="1">'SR3'!H4-'SO3'!H4</f>
        <v>#VALUE!</v>
      </c>
      <c r="K4" s="5" t="e">
        <f ca="1">'SR3'!K4-'SO3'!K4</f>
        <v>#VALUE!</v>
      </c>
    </row>
    <row r="5" spans="1:12" x14ac:dyDescent="0.25">
      <c r="A5" t="str">
        <f ca="1">RIGHT('SR3'!A5,2)</f>
        <v>U6</v>
      </c>
      <c r="C5" t="str">
        <f ca="1">'SR3'!C5</f>
        <v>U6</v>
      </c>
      <c r="H5" t="e">
        <f ca="1">'SR3'!H5-'SO3'!H5</f>
        <v>#VALUE!</v>
      </c>
      <c r="K5" s="5" t="e">
        <f ca="1">'SR3'!K5-'SO3'!K5</f>
        <v>#VALUE!</v>
      </c>
    </row>
    <row r="6" spans="1:12" x14ac:dyDescent="0.25">
      <c r="A6" t="str">
        <f ca="1">RIGHT('SR3'!A6,2)</f>
        <v>Z6</v>
      </c>
      <c r="C6" t="str">
        <f ca="1">'SR3'!C6</f>
        <v>Z6</v>
      </c>
      <c r="H6" t="e">
        <f ca="1">'SR3'!H6-'SO3'!H6</f>
        <v>#VALUE!</v>
      </c>
      <c r="K6" s="5" t="e">
        <f ca="1">'SR3'!K6-'SO3'!K6</f>
        <v>#VALUE!</v>
      </c>
    </row>
    <row r="7" spans="1:12" x14ac:dyDescent="0.25">
      <c r="A7" t="str">
        <f ca="1">RIGHT('SR3'!A7,2)</f>
        <v>H7</v>
      </c>
      <c r="C7" t="str">
        <f ca="1">'SR3'!C7</f>
        <v>H7</v>
      </c>
      <c r="H7" t="e">
        <f ca="1">'SR3'!H7-'SO3'!H7</f>
        <v>#VALUE!</v>
      </c>
      <c r="K7" s="5" t="e">
        <f ca="1">'SR3'!K7-'SO3'!K7</f>
        <v>#VALUE!</v>
      </c>
    </row>
    <row r="8" spans="1:12" x14ac:dyDescent="0.25">
      <c r="A8" t="str">
        <f ca="1">RIGHT('SR3'!A8,2)</f>
        <v>M7</v>
      </c>
      <c r="C8" t="str">
        <f ca="1">'SR3'!C8</f>
        <v>M7</v>
      </c>
      <c r="H8" t="e">
        <f ca="1">'SR3'!H8-'SO3'!H8</f>
        <v>#VALUE!</v>
      </c>
      <c r="K8" s="5" t="e">
        <f ca="1">'SR3'!K8-'SO3'!K8</f>
        <v>#VALUE!</v>
      </c>
    </row>
    <row r="9" spans="1:12" x14ac:dyDescent="0.25">
      <c r="A9" t="str">
        <f ca="1">RIGHT('SR3'!A9,2)</f>
        <v>U7</v>
      </c>
      <c r="C9" t="str">
        <f ca="1">'SR3'!C9</f>
        <v>U7</v>
      </c>
      <c r="H9" t="e">
        <f ca="1">'SR3'!H9-'SO3'!H9</f>
        <v>#VALUE!</v>
      </c>
      <c r="K9" s="5" t="e">
        <f ca="1">'SR3'!K9-'SO3'!K9</f>
        <v>#VALUE!</v>
      </c>
    </row>
    <row r="10" spans="1:12" x14ac:dyDescent="0.25">
      <c r="A10" t="str">
        <f ca="1">RIGHT('SR3'!A10,2)</f>
        <v>Z7</v>
      </c>
      <c r="C10" t="str">
        <f ca="1">'SR3'!C10</f>
        <v>Z7</v>
      </c>
      <c r="H10" t="e">
        <f ca="1">'SR3'!H10-'SO3'!H10</f>
        <v>#VALUE!</v>
      </c>
      <c r="K10" s="5" t="e">
        <f ca="1">'SR3'!K10-'SO3'!K10</f>
        <v>#VALUE!</v>
      </c>
    </row>
    <row r="11" spans="1:12" x14ac:dyDescent="0.25">
      <c r="A11" t="str">
        <f ca="1">RIGHT('SR3'!A11,2)</f>
        <v>H8</v>
      </c>
      <c r="C11" t="str">
        <f ca="1">'SR3'!C11</f>
        <v>H8</v>
      </c>
      <c r="H11" t="e">
        <f ca="1">'SR3'!H11-'SO3'!H11</f>
        <v>#VALUE!</v>
      </c>
      <c r="K11" s="5" t="e">
        <f ca="1">'SR3'!K11-'SO3'!K11</f>
        <v>#VALUE!</v>
      </c>
    </row>
    <row r="12" spans="1:12" x14ac:dyDescent="0.25">
      <c r="A12" t="str">
        <f ca="1">RIGHT('SR3'!A12,2)</f>
        <v>M8</v>
      </c>
      <c r="C12" t="str">
        <f ca="1">'SR3'!C12</f>
        <v>M8</v>
      </c>
      <c r="H12" t="e">
        <f ca="1">'SR3'!H12-'SO3'!H12</f>
        <v>#VALUE!</v>
      </c>
      <c r="K12" s="5" t="e">
        <f ca="1">'SR3'!K12-'SO3'!K12</f>
        <v>#VALUE!</v>
      </c>
    </row>
    <row r="13" spans="1:12" x14ac:dyDescent="0.25">
      <c r="A13" t="str">
        <f ca="1">RIGHT('SR3'!A13,2)</f>
        <v>U8</v>
      </c>
      <c r="C13" t="str">
        <f ca="1">'SR3'!C13</f>
        <v>U8</v>
      </c>
      <c r="H13" t="e">
        <f ca="1">'SR3'!H13-'SO3'!H13</f>
        <v>#VALUE!</v>
      </c>
      <c r="K13" s="5" t="e">
        <f ca="1">'SR3'!K13-'SO3'!K13</f>
        <v>#VALUE!</v>
      </c>
    </row>
    <row r="14" spans="1:12" x14ac:dyDescent="0.25">
      <c r="A14" t="str">
        <f ca="1">RIGHT('SR3'!A14,2)</f>
        <v>Z8</v>
      </c>
      <c r="C14" t="str">
        <f ca="1">'SR3'!C14</f>
        <v>Z8</v>
      </c>
      <c r="H14" t="e">
        <f ca="1">'SR3'!H14-'SO3'!H14</f>
        <v>#VALUE!</v>
      </c>
      <c r="K14" s="5" t="e">
        <f ca="1">'SR3'!K14-'SO3'!K14</f>
        <v>#VALUE!</v>
      </c>
    </row>
    <row r="15" spans="1:12" x14ac:dyDescent="0.25">
      <c r="A15" t="str">
        <f ca="1">RIGHT('SR3'!A15,2)</f>
        <v>H9</v>
      </c>
      <c r="C15" t="str">
        <f ca="1">'SR3'!C15</f>
        <v>H9</v>
      </c>
      <c r="H15" t="e">
        <f ca="1">'SR3'!H15-'SO3'!H15</f>
        <v>#VALUE!</v>
      </c>
      <c r="K15" s="5" t="e">
        <f ca="1">'SR3'!K15-'SO3'!K15</f>
        <v>#VALUE!</v>
      </c>
    </row>
    <row r="16" spans="1:12" x14ac:dyDescent="0.25">
      <c r="A16" t="str">
        <f ca="1">RIGHT('SR3'!A16,2)</f>
        <v>M9</v>
      </c>
      <c r="C16" t="str">
        <f ca="1">'SR3'!C16</f>
        <v>M9</v>
      </c>
      <c r="H16" t="e">
        <f ca="1">'SR3'!H16-'SO3'!H16</f>
        <v>#VALUE!</v>
      </c>
      <c r="K16" s="5" t="e">
        <f ca="1">'SR3'!K16-'SO3'!K16</f>
        <v>#VALUE!</v>
      </c>
    </row>
    <row r="17" spans="1:11" x14ac:dyDescent="0.25">
      <c r="A17" t="str">
        <f ca="1">RIGHT('SR3'!A17,2)</f>
        <v>U9</v>
      </c>
      <c r="C17" t="str">
        <f ca="1">'SR3'!C17</f>
        <v>U9</v>
      </c>
      <c r="H17" t="e">
        <f ca="1">'SR3'!H17-'SO3'!H17</f>
        <v>#VALUE!</v>
      </c>
      <c r="K17" s="5" t="e">
        <f ca="1">'SR3'!K17-'SO3'!K17</f>
        <v>#VALUE!</v>
      </c>
    </row>
    <row r="18" spans="1:11" x14ac:dyDescent="0.25">
      <c r="A18" t="str">
        <f ca="1">RIGHT('SR3'!A18,2)</f>
        <v>Z9</v>
      </c>
      <c r="C18" t="str">
        <f ca="1">'SR3'!C18</f>
        <v>Z9</v>
      </c>
      <c r="H18" t="e">
        <f ca="1">'SR3'!H18-'SO3'!H18</f>
        <v>#VALUE!</v>
      </c>
      <c r="K18" s="5" t="e">
        <f ca="1">'SR3'!K18-'SO3'!K18</f>
        <v>#VALUE!</v>
      </c>
    </row>
    <row r="19" spans="1:11" x14ac:dyDescent="0.25">
      <c r="A19" t="str">
        <f ca="1">RIGHT('SR3'!A19,2)</f>
        <v>H0</v>
      </c>
      <c r="C19" t="str">
        <f ca="1">'SR3'!C19</f>
        <v>H0</v>
      </c>
      <c r="H19" t="e">
        <f ca="1">'SR3'!H19-'SO3'!H19</f>
        <v>#VALUE!</v>
      </c>
      <c r="K19" s="5" t="e">
        <f ca="1">'SR3'!K19-'SO3'!K19</f>
        <v>#VALUE!</v>
      </c>
    </row>
    <row r="20" spans="1:11" x14ac:dyDescent="0.25">
      <c r="A20" t="str">
        <f ca="1">RIGHT('SR3'!A20,2)</f>
        <v>M0</v>
      </c>
      <c r="C20" t="str">
        <f ca="1">'SR3'!C20</f>
        <v>M0</v>
      </c>
      <c r="H20" t="e">
        <f ca="1">'SR3'!H20-'SO3'!H20</f>
        <v>#VALUE!</v>
      </c>
      <c r="K20" s="5" t="e">
        <f ca="1">'SR3'!K20-'SO3'!K20</f>
        <v>#VALUE!</v>
      </c>
    </row>
    <row r="21" spans="1:11" x14ac:dyDescent="0.25">
      <c r="A21" t="str">
        <f ca="1">RIGHT('SR3'!A21,2)</f>
        <v>U0</v>
      </c>
      <c r="C21" t="str">
        <f ca="1">'SR3'!C21</f>
        <v>U0</v>
      </c>
      <c r="H21" t="e">
        <f ca="1">'SR3'!H21-'SO3'!H21</f>
        <v>#VALUE!</v>
      </c>
      <c r="K21" s="5" t="e">
        <f ca="1">'SR3'!K21-'SO3'!K21</f>
        <v>#VALUE!</v>
      </c>
    </row>
    <row r="22" spans="1:11" x14ac:dyDescent="0.25">
      <c r="A22" t="str">
        <f ca="1">RIGHT('SR3'!A22,2)</f>
        <v>Z0</v>
      </c>
      <c r="C22" t="str">
        <f ca="1">'SR3'!C22</f>
        <v>Z0</v>
      </c>
      <c r="H22" t="e">
        <f ca="1">'SR3'!H22-'SO3'!H22</f>
        <v>#VALUE!</v>
      </c>
      <c r="K22" s="5" t="e">
        <f ca="1">'SR3'!K22-'SO3'!K22</f>
        <v>#VALUE!</v>
      </c>
    </row>
    <row r="23" spans="1:11" x14ac:dyDescent="0.25">
      <c r="A23" t="str">
        <f ca="1">RIGHT('SR3'!A23,2)</f>
        <v>H1</v>
      </c>
      <c r="C23" t="str">
        <f ca="1">'SR3'!C23</f>
        <v>H1</v>
      </c>
      <c r="H23" t="e">
        <f ca="1">'SR3'!H23-'SO3'!H23</f>
        <v>#VALUE!</v>
      </c>
      <c r="K23" s="5" t="e">
        <f ca="1">'SR3'!K23-'SO3'!K23</f>
        <v>#VALUE!</v>
      </c>
    </row>
    <row r="24" spans="1:11" x14ac:dyDescent="0.25">
      <c r="A24" t="str">
        <f ca="1">RIGHT('SR3'!A24,2)</f>
        <v>M1</v>
      </c>
      <c r="C24" t="str">
        <f ca="1">'SR3'!C24</f>
        <v>M1</v>
      </c>
      <c r="H24" t="e">
        <f ca="1">'SR3'!H24-'SO3'!H24</f>
        <v>#VALUE!</v>
      </c>
      <c r="K24" s="5" t="e">
        <f ca="1">'SR3'!K24-'SO3'!K24</f>
        <v>#VALUE!</v>
      </c>
    </row>
    <row r="25" spans="1:11" x14ac:dyDescent="0.25">
      <c r="A25" t="str">
        <f ca="1">RIGHT('SR3'!A25,2)</f>
        <v>U1</v>
      </c>
      <c r="C25" t="str">
        <f ca="1">'SR3'!C25</f>
        <v>U1</v>
      </c>
      <c r="H25" t="e">
        <f ca="1">'SR3'!H25-'SO3'!H25</f>
        <v>#VALUE!</v>
      </c>
      <c r="K25" s="5" t="e">
        <f ca="1">'SR3'!K25-'SO3'!K25</f>
        <v>#VALUE!</v>
      </c>
    </row>
    <row r="26" spans="1:11" x14ac:dyDescent="0.25">
      <c r="A26" t="str">
        <f ca="1">RIGHT('SR3'!A26,2)</f>
        <v>Z1</v>
      </c>
      <c r="C26" t="str">
        <f ca="1">'SR3'!C26</f>
        <v>Z1</v>
      </c>
      <c r="H26" t="e">
        <f ca="1">'SR3'!H26-'SO3'!H26</f>
        <v>#VALUE!</v>
      </c>
      <c r="K26" s="5" t="e">
        <f ca="1">'SR3'!K26-'SO3'!K26</f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1AA2-C392-4160-A554-F59AEE840C34}">
  <dimension ref="A1:L26"/>
  <sheetViews>
    <sheetView workbookViewId="0">
      <selection activeCell="Q11" sqref="Q11"/>
    </sheetView>
  </sheetViews>
  <sheetFormatPr defaultRowHeight="15" x14ac:dyDescent="0.25"/>
  <sheetData>
    <row r="1" spans="1:12" x14ac:dyDescent="0.25">
      <c r="A1" s="22" t="s">
        <v>307</v>
      </c>
      <c r="B1" s="23" t="s">
        <v>0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307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K3" s="5"/>
    </row>
    <row r="4" spans="1:12" x14ac:dyDescent="0.25">
      <c r="A4" t="str">
        <f ca="1">RIGHT('SR3'!A4,2)</f>
        <v>M6</v>
      </c>
      <c r="C4" t="str">
        <f ca="1">'SR3'!C4</f>
        <v>M6</v>
      </c>
      <c r="H4" t="e">
        <f ca="1">'SR3'!H4-ER!H4</f>
        <v>#VALUE!</v>
      </c>
      <c r="K4" s="5" t="e">
        <f ca="1">'SR3'!K4-'SO3'!K4</f>
        <v>#VALUE!</v>
      </c>
    </row>
    <row r="5" spans="1:12" x14ac:dyDescent="0.25">
      <c r="A5" t="str">
        <f ca="1">RIGHT('SR3'!A5,2)</f>
        <v>U6</v>
      </c>
      <c r="C5" t="str">
        <f ca="1">'SR3'!C5</f>
        <v>U6</v>
      </c>
      <c r="H5" t="e">
        <f ca="1">'SR3'!H5-ER!H5</f>
        <v>#VALUE!</v>
      </c>
      <c r="K5" s="5" t="e">
        <f ca="1">'SR3'!K5-'SO3'!K5</f>
        <v>#VALUE!</v>
      </c>
    </row>
    <row r="6" spans="1:12" x14ac:dyDescent="0.25">
      <c r="A6" t="str">
        <f ca="1">RIGHT('SR3'!A6,2)</f>
        <v>Z6</v>
      </c>
      <c r="C6" t="str">
        <f ca="1">'SR3'!C6</f>
        <v>Z6</v>
      </c>
      <c r="H6" t="e">
        <f ca="1">'SR3'!H6-ER!H6</f>
        <v>#VALUE!</v>
      </c>
      <c r="K6" s="5" t="e">
        <f ca="1">'SR3'!K6-'SO3'!K6</f>
        <v>#VALUE!</v>
      </c>
    </row>
    <row r="7" spans="1:12" x14ac:dyDescent="0.25">
      <c r="A7" t="str">
        <f ca="1">RIGHT('SR3'!A7,2)</f>
        <v>H7</v>
      </c>
      <c r="C7" t="str">
        <f ca="1">'SR3'!C7</f>
        <v>H7</v>
      </c>
      <c r="H7" t="e">
        <f ca="1">'SR3'!H7-ER!H7</f>
        <v>#VALUE!</v>
      </c>
      <c r="K7" s="5" t="e">
        <f ca="1">'SR3'!K7-'SO3'!K7</f>
        <v>#VALUE!</v>
      </c>
    </row>
    <row r="8" spans="1:12" x14ac:dyDescent="0.25">
      <c r="A8" t="str">
        <f ca="1">RIGHT('SR3'!A8,2)</f>
        <v>M7</v>
      </c>
      <c r="C8" t="str">
        <f ca="1">'SR3'!C8</f>
        <v>M7</v>
      </c>
      <c r="H8" t="e">
        <f ca="1">'SR3'!H8-ER!H8</f>
        <v>#VALUE!</v>
      </c>
      <c r="K8" s="5" t="e">
        <f ca="1">'SR3'!K8-'SO3'!K8</f>
        <v>#VALUE!</v>
      </c>
    </row>
    <row r="9" spans="1:12" x14ac:dyDescent="0.25">
      <c r="A9" t="str">
        <f ca="1">RIGHT('SR3'!A9,2)</f>
        <v>U7</v>
      </c>
      <c r="C9" t="str">
        <f ca="1">'SR3'!C9</f>
        <v>U7</v>
      </c>
      <c r="H9" t="e">
        <f ca="1">'SR3'!H9-ER!H9</f>
        <v>#VALUE!</v>
      </c>
      <c r="K9" s="5" t="e">
        <f ca="1">'SR3'!K9-'SO3'!K9</f>
        <v>#VALUE!</v>
      </c>
    </row>
    <row r="10" spans="1:12" x14ac:dyDescent="0.25">
      <c r="A10" t="str">
        <f ca="1">RIGHT('SR3'!A10,2)</f>
        <v>Z7</v>
      </c>
      <c r="C10" t="str">
        <f ca="1">'SR3'!C10</f>
        <v>Z7</v>
      </c>
      <c r="H10" t="e">
        <f ca="1">'SR3'!H10-ER!H10</f>
        <v>#VALUE!</v>
      </c>
      <c r="K10" s="5" t="e">
        <f ca="1">'SR3'!K10-'SO3'!K10</f>
        <v>#VALUE!</v>
      </c>
    </row>
    <row r="11" spans="1:12" x14ac:dyDescent="0.25">
      <c r="A11" t="str">
        <f ca="1">RIGHT('SR3'!A11,2)</f>
        <v>H8</v>
      </c>
      <c r="C11" t="str">
        <f ca="1">'SR3'!C11</f>
        <v>H8</v>
      </c>
      <c r="H11" t="e">
        <f ca="1">'SR3'!H11-ER!H11</f>
        <v>#VALUE!</v>
      </c>
      <c r="K11" s="5" t="e">
        <f ca="1">'SR3'!K11-'SO3'!K11</f>
        <v>#VALUE!</v>
      </c>
    </row>
    <row r="12" spans="1:12" x14ac:dyDescent="0.25">
      <c r="A12" t="str">
        <f ca="1">RIGHT('SR3'!A12,2)</f>
        <v>M8</v>
      </c>
      <c r="C12" t="str">
        <f ca="1">'SR3'!C12</f>
        <v>M8</v>
      </c>
      <c r="H12" t="e">
        <f ca="1">'SR3'!H12-ER!H12</f>
        <v>#VALUE!</v>
      </c>
      <c r="K12" s="5" t="e">
        <f ca="1">'SR3'!K12-'SO3'!K12</f>
        <v>#VALUE!</v>
      </c>
    </row>
    <row r="13" spans="1:12" x14ac:dyDescent="0.25">
      <c r="A13" t="str">
        <f ca="1">RIGHT('SR3'!A13,2)</f>
        <v>U8</v>
      </c>
      <c r="C13" t="str">
        <f ca="1">'SR3'!C13</f>
        <v>U8</v>
      </c>
      <c r="H13" t="e">
        <f ca="1">'SR3'!H13-ER!H13</f>
        <v>#VALUE!</v>
      </c>
      <c r="K13" s="5" t="e">
        <f ca="1">'SR3'!K13-'SO3'!K13</f>
        <v>#VALUE!</v>
      </c>
    </row>
    <row r="14" spans="1:12" x14ac:dyDescent="0.25">
      <c r="A14" t="str">
        <f ca="1">RIGHT('SR3'!A14,2)</f>
        <v>Z8</v>
      </c>
      <c r="C14" t="str">
        <f ca="1">'SR3'!C14</f>
        <v>Z8</v>
      </c>
      <c r="H14" t="e">
        <f ca="1">'SR3'!H14-ER!H14</f>
        <v>#VALUE!</v>
      </c>
      <c r="K14" s="5" t="e">
        <f ca="1">'SR3'!K14-'SO3'!K14</f>
        <v>#VALUE!</v>
      </c>
    </row>
    <row r="15" spans="1:12" x14ac:dyDescent="0.25">
      <c r="A15" t="str">
        <f ca="1">RIGHT('SR3'!A15,2)</f>
        <v>H9</v>
      </c>
      <c r="C15" t="str">
        <f ca="1">'SR3'!C15</f>
        <v>H9</v>
      </c>
      <c r="H15" t="e">
        <f ca="1">'SR3'!H15-ER!H15</f>
        <v>#VALUE!</v>
      </c>
      <c r="K15" s="5" t="e">
        <f ca="1">'SR3'!K15-'SO3'!K15</f>
        <v>#VALUE!</v>
      </c>
    </row>
    <row r="16" spans="1:12" x14ac:dyDescent="0.25">
      <c r="A16" t="str">
        <f ca="1">RIGHT('SR3'!A16,2)</f>
        <v>M9</v>
      </c>
      <c r="C16" t="str">
        <f ca="1">'SR3'!C16</f>
        <v>M9</v>
      </c>
      <c r="H16" t="e">
        <f ca="1">'SR3'!H16-ER!H16</f>
        <v>#VALUE!</v>
      </c>
      <c r="K16" s="5" t="e">
        <f ca="1">'SR3'!K16-'SO3'!K16</f>
        <v>#VALUE!</v>
      </c>
    </row>
    <row r="17" spans="1:11" x14ac:dyDescent="0.25">
      <c r="A17" t="str">
        <f ca="1">RIGHT('SR3'!A17,2)</f>
        <v>U9</v>
      </c>
      <c r="C17" t="str">
        <f ca="1">'SR3'!C17</f>
        <v>U9</v>
      </c>
      <c r="H17" t="e">
        <f ca="1">'SR3'!H17-ER!H17</f>
        <v>#VALUE!</v>
      </c>
      <c r="K17" s="5" t="e">
        <f ca="1">'SR3'!K17-'SO3'!K17</f>
        <v>#VALUE!</v>
      </c>
    </row>
    <row r="18" spans="1:11" x14ac:dyDescent="0.25">
      <c r="A18" t="str">
        <f ca="1">RIGHT('SR3'!A18,2)</f>
        <v>Z9</v>
      </c>
      <c r="C18" t="str">
        <f ca="1">'SR3'!C18</f>
        <v>Z9</v>
      </c>
      <c r="H18" t="e">
        <f ca="1">'SR3'!H18-ER!H18</f>
        <v>#VALUE!</v>
      </c>
      <c r="K18" s="5" t="e">
        <f ca="1">'SR3'!K18-'SO3'!K18</f>
        <v>#VALUE!</v>
      </c>
    </row>
    <row r="19" spans="1:11" x14ac:dyDescent="0.25">
      <c r="A19" t="str">
        <f ca="1">RIGHT('SR3'!A19,2)</f>
        <v>H0</v>
      </c>
      <c r="C19" t="str">
        <f ca="1">'SR3'!C19</f>
        <v>H0</v>
      </c>
      <c r="H19" t="e">
        <f ca="1">'SR3'!H19-ER!H19</f>
        <v>#VALUE!</v>
      </c>
      <c r="K19" s="5" t="e">
        <f ca="1">'SR3'!K19-'SO3'!K19</f>
        <v>#VALUE!</v>
      </c>
    </row>
    <row r="20" spans="1:11" x14ac:dyDescent="0.25">
      <c r="A20" t="str">
        <f ca="1">RIGHT('SR3'!A20,2)</f>
        <v>M0</v>
      </c>
      <c r="C20" t="str">
        <f ca="1">'SR3'!C20</f>
        <v>M0</v>
      </c>
      <c r="H20" t="e">
        <f ca="1">'SR3'!H20-ER!H20</f>
        <v>#VALUE!</v>
      </c>
      <c r="K20" s="5" t="e">
        <f ca="1">'SR3'!K20-'SO3'!K20</f>
        <v>#VALUE!</v>
      </c>
    </row>
    <row r="21" spans="1:11" x14ac:dyDescent="0.25">
      <c r="A21" t="str">
        <f ca="1">RIGHT('SR3'!A21,2)</f>
        <v>U0</v>
      </c>
      <c r="C21" t="str">
        <f ca="1">'SR3'!C21</f>
        <v>U0</v>
      </c>
      <c r="H21" t="e">
        <f ca="1">'SR3'!H21-ER!H21</f>
        <v>#VALUE!</v>
      </c>
      <c r="K21" s="5" t="e">
        <f ca="1">'SR3'!K21-'SO3'!K21</f>
        <v>#VALUE!</v>
      </c>
    </row>
    <row r="22" spans="1:11" x14ac:dyDescent="0.25">
      <c r="A22" t="str">
        <f ca="1">RIGHT('SR3'!A22,2)</f>
        <v>Z0</v>
      </c>
      <c r="C22" t="str">
        <f ca="1">'SR3'!C22</f>
        <v>Z0</v>
      </c>
      <c r="H22" t="e">
        <f ca="1">'SR3'!H22-ER!H22</f>
        <v>#VALUE!</v>
      </c>
      <c r="K22" s="5" t="e">
        <f ca="1">'SR3'!K22-'SO3'!K22</f>
        <v>#VALUE!</v>
      </c>
    </row>
    <row r="23" spans="1:11" x14ac:dyDescent="0.25">
      <c r="A23" t="str">
        <f ca="1">RIGHT('SR3'!A23,2)</f>
        <v>H1</v>
      </c>
      <c r="C23" t="str">
        <f ca="1">'SR3'!C23</f>
        <v>H1</v>
      </c>
      <c r="H23" t="e">
        <f ca="1">'SR3'!H23-ER!H23</f>
        <v>#VALUE!</v>
      </c>
      <c r="K23" s="5" t="e">
        <f ca="1">'SR3'!K23-'SO3'!K23</f>
        <v>#VALUE!</v>
      </c>
    </row>
    <row r="24" spans="1:11" x14ac:dyDescent="0.25">
      <c r="A24" t="str">
        <f ca="1">RIGHT('SR3'!A24,2)</f>
        <v>M1</v>
      </c>
      <c r="C24" t="str">
        <f ca="1">'SR3'!C24</f>
        <v>M1</v>
      </c>
      <c r="H24" t="e">
        <f ca="1">'SR3'!H24-ER!H24</f>
        <v>#VALUE!</v>
      </c>
      <c r="K24" s="5" t="e">
        <f ca="1">'SR3'!K24-'SO3'!K24</f>
        <v>#VALUE!</v>
      </c>
    </row>
    <row r="25" spans="1:11" x14ac:dyDescent="0.25">
      <c r="A25" t="str">
        <f ca="1">RIGHT('SR3'!A25,2)</f>
        <v>U1</v>
      </c>
      <c r="C25" t="str">
        <f ca="1">'SR3'!C25</f>
        <v>U1</v>
      </c>
      <c r="H25" t="e">
        <f ca="1">'SR3'!H25-ER!H25</f>
        <v>#VALUE!</v>
      </c>
      <c r="K25" s="5" t="e">
        <f ca="1">'SR3'!K25-'SO3'!K25</f>
        <v>#VALUE!</v>
      </c>
    </row>
    <row r="26" spans="1:11" x14ac:dyDescent="0.25">
      <c r="A26" t="str">
        <f ca="1">RIGHT('SR3'!A26,2)</f>
        <v>Z1</v>
      </c>
      <c r="C26" t="str">
        <f ca="1">'SR3'!C26</f>
        <v>Z1</v>
      </c>
      <c r="H26" t="e">
        <f ca="1">'SR3'!H26-ER!H26</f>
        <v>#VALUE!</v>
      </c>
      <c r="K26" s="5" t="e">
        <f ca="1">'SR3'!K26-'SO3'!K26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B96B-4411-4C38-98FF-C86EFC72919B}">
  <dimension ref="A1:L26"/>
  <sheetViews>
    <sheetView workbookViewId="0">
      <selection activeCell="F13" sqref="F13"/>
    </sheetView>
  </sheetViews>
  <sheetFormatPr defaultRowHeight="15" x14ac:dyDescent="0.25"/>
  <sheetData>
    <row r="1" spans="1:12" x14ac:dyDescent="0.25">
      <c r="A1" s="22" t="s">
        <v>307</v>
      </c>
      <c r="B1" s="23" t="s">
        <v>0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307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K3" s="5"/>
    </row>
    <row r="4" spans="1:12" x14ac:dyDescent="0.25">
      <c r="A4" t="str">
        <f ca="1">RIGHT('SR3'!A4,2)</f>
        <v>M6</v>
      </c>
      <c r="C4" t="str">
        <f ca="1">'SR3'!C4</f>
        <v>M6</v>
      </c>
      <c r="H4" t="e">
        <f ca="1">ER!H4-'SO3'!H4</f>
        <v>#VALUE!</v>
      </c>
      <c r="K4" s="5" t="e">
        <f ca="1">ER!K4-'SO3'!K4</f>
        <v>#VALUE!</v>
      </c>
    </row>
    <row r="5" spans="1:12" x14ac:dyDescent="0.25">
      <c r="A5" t="str">
        <f ca="1">RIGHT('SR3'!A5,2)</f>
        <v>U6</v>
      </c>
      <c r="C5" t="str">
        <f ca="1">'SR3'!C5</f>
        <v>U6</v>
      </c>
      <c r="H5" t="e">
        <f ca="1">ER!H5-'SO3'!H5</f>
        <v>#VALUE!</v>
      </c>
      <c r="K5" s="5" t="e">
        <f ca="1">ER!K5-'SO3'!K5</f>
        <v>#VALUE!</v>
      </c>
    </row>
    <row r="6" spans="1:12" x14ac:dyDescent="0.25">
      <c r="A6" t="str">
        <f ca="1">RIGHT('SR3'!A6,2)</f>
        <v>Z6</v>
      </c>
      <c r="C6" t="str">
        <f ca="1">'SR3'!C6</f>
        <v>Z6</v>
      </c>
      <c r="H6" t="e">
        <f ca="1">ER!H6-'SO3'!H6</f>
        <v>#VALUE!</v>
      </c>
      <c r="K6" s="5" t="e">
        <f ca="1">ER!K6-'SO3'!K6</f>
        <v>#VALUE!</v>
      </c>
    </row>
    <row r="7" spans="1:12" x14ac:dyDescent="0.25">
      <c r="A7" t="str">
        <f ca="1">RIGHT('SR3'!A7,2)</f>
        <v>H7</v>
      </c>
      <c r="C7" t="str">
        <f ca="1">'SR3'!C7</f>
        <v>H7</v>
      </c>
      <c r="H7" t="e">
        <f ca="1">ER!H7-'SO3'!H7</f>
        <v>#VALUE!</v>
      </c>
      <c r="K7" s="5" t="e">
        <f ca="1">ER!K7-'SO3'!K7</f>
        <v>#VALUE!</v>
      </c>
    </row>
    <row r="8" spans="1:12" x14ac:dyDescent="0.25">
      <c r="A8" t="str">
        <f ca="1">RIGHT('SR3'!A8,2)</f>
        <v>M7</v>
      </c>
      <c r="C8" t="str">
        <f ca="1">'SR3'!C8</f>
        <v>M7</v>
      </c>
      <c r="H8" t="e">
        <f ca="1">ER!H8-'SO3'!H8</f>
        <v>#VALUE!</v>
      </c>
      <c r="K8" s="5" t="e">
        <f ca="1">ER!K8-'SO3'!K8</f>
        <v>#VALUE!</v>
      </c>
    </row>
    <row r="9" spans="1:12" x14ac:dyDescent="0.25">
      <c r="A9" t="str">
        <f ca="1">RIGHT('SR3'!A9,2)</f>
        <v>U7</v>
      </c>
      <c r="C9" t="str">
        <f ca="1">'SR3'!C9</f>
        <v>U7</v>
      </c>
      <c r="H9" t="e">
        <f ca="1">ER!H9-'SO3'!H9</f>
        <v>#VALUE!</v>
      </c>
      <c r="K9" s="5" t="e">
        <f ca="1">ER!K9-'SO3'!K9</f>
        <v>#VALUE!</v>
      </c>
    </row>
    <row r="10" spans="1:12" x14ac:dyDescent="0.25">
      <c r="A10" t="str">
        <f ca="1">RIGHT('SR3'!A10,2)</f>
        <v>Z7</v>
      </c>
      <c r="C10" t="str">
        <f ca="1">'SR3'!C10</f>
        <v>Z7</v>
      </c>
      <c r="H10" t="e">
        <f ca="1">ER!H10-'SO3'!H10</f>
        <v>#VALUE!</v>
      </c>
      <c r="K10" s="5" t="e">
        <f ca="1">ER!K10-'SO3'!K10</f>
        <v>#VALUE!</v>
      </c>
    </row>
    <row r="11" spans="1:12" x14ac:dyDescent="0.25">
      <c r="A11" t="str">
        <f ca="1">RIGHT('SR3'!A11,2)</f>
        <v>H8</v>
      </c>
      <c r="C11" t="str">
        <f ca="1">'SR3'!C11</f>
        <v>H8</v>
      </c>
      <c r="H11" t="e">
        <f ca="1">ER!H11-'SO3'!H11</f>
        <v>#VALUE!</v>
      </c>
      <c r="K11" s="5" t="e">
        <f ca="1">ER!K11-'SO3'!K11</f>
        <v>#VALUE!</v>
      </c>
    </row>
    <row r="12" spans="1:12" x14ac:dyDescent="0.25">
      <c r="A12" t="str">
        <f ca="1">RIGHT('SR3'!A12,2)</f>
        <v>M8</v>
      </c>
      <c r="C12" t="str">
        <f ca="1">'SR3'!C12</f>
        <v>M8</v>
      </c>
      <c r="H12" t="e">
        <f ca="1">ER!H12-'SO3'!H12</f>
        <v>#VALUE!</v>
      </c>
      <c r="K12" s="5" t="e">
        <f ca="1">ER!K12-'SO3'!K12</f>
        <v>#VALUE!</v>
      </c>
    </row>
    <row r="13" spans="1:12" x14ac:dyDescent="0.25">
      <c r="A13" t="str">
        <f ca="1">RIGHT('SR3'!A13,2)</f>
        <v>U8</v>
      </c>
      <c r="C13" t="str">
        <f ca="1">'SR3'!C13</f>
        <v>U8</v>
      </c>
      <c r="H13" t="e">
        <f ca="1">ER!H13-'SO3'!H13</f>
        <v>#VALUE!</v>
      </c>
      <c r="K13" s="5" t="e">
        <f ca="1">ER!K13-'SO3'!K13</f>
        <v>#VALUE!</v>
      </c>
    </row>
    <row r="14" spans="1:12" x14ac:dyDescent="0.25">
      <c r="A14" t="str">
        <f ca="1">RIGHT('SR3'!A14,2)</f>
        <v>Z8</v>
      </c>
      <c r="C14" t="str">
        <f ca="1">'SR3'!C14</f>
        <v>Z8</v>
      </c>
      <c r="H14" t="e">
        <f ca="1">ER!H14-'SO3'!H14</f>
        <v>#VALUE!</v>
      </c>
      <c r="K14" s="5" t="e">
        <f ca="1">ER!K14-'SO3'!K14</f>
        <v>#VALUE!</v>
      </c>
    </row>
    <row r="15" spans="1:12" x14ac:dyDescent="0.25">
      <c r="A15" t="str">
        <f ca="1">RIGHT('SR3'!A15,2)</f>
        <v>H9</v>
      </c>
      <c r="C15" t="str">
        <f ca="1">'SR3'!C15</f>
        <v>H9</v>
      </c>
      <c r="H15" t="e">
        <f ca="1">ER!H15-'SO3'!H15</f>
        <v>#VALUE!</v>
      </c>
      <c r="K15" s="5" t="e">
        <f ca="1">ER!K15-'SO3'!K15</f>
        <v>#VALUE!</v>
      </c>
    </row>
    <row r="16" spans="1:12" x14ac:dyDescent="0.25">
      <c r="A16" t="str">
        <f ca="1">RIGHT('SR3'!A16,2)</f>
        <v>M9</v>
      </c>
      <c r="C16" t="str">
        <f ca="1">'SR3'!C16</f>
        <v>M9</v>
      </c>
      <c r="H16" t="e">
        <f ca="1">ER!H16-'SO3'!H16</f>
        <v>#VALUE!</v>
      </c>
      <c r="K16" s="5" t="e">
        <f ca="1">ER!K16-'SO3'!K16</f>
        <v>#VALUE!</v>
      </c>
    </row>
    <row r="17" spans="1:11" x14ac:dyDescent="0.25">
      <c r="A17" t="str">
        <f ca="1">RIGHT('SR3'!A17,2)</f>
        <v>U9</v>
      </c>
      <c r="C17" t="str">
        <f ca="1">'SR3'!C17</f>
        <v>U9</v>
      </c>
      <c r="H17" t="e">
        <f ca="1">ER!H17-'SO3'!H17</f>
        <v>#VALUE!</v>
      </c>
      <c r="K17" s="5" t="e">
        <f ca="1">ER!K17-'SO3'!K17</f>
        <v>#VALUE!</v>
      </c>
    </row>
    <row r="18" spans="1:11" x14ac:dyDescent="0.25">
      <c r="A18" t="str">
        <f ca="1">RIGHT('SR3'!A18,2)</f>
        <v>Z9</v>
      </c>
      <c r="C18" t="str">
        <f ca="1">'SR3'!C18</f>
        <v>Z9</v>
      </c>
      <c r="H18" t="e">
        <f ca="1">ER!H18-'SO3'!H18</f>
        <v>#VALUE!</v>
      </c>
      <c r="K18" s="5" t="e">
        <f ca="1">ER!K18-'SO3'!K18</f>
        <v>#VALUE!</v>
      </c>
    </row>
    <row r="19" spans="1:11" x14ac:dyDescent="0.25">
      <c r="A19" t="str">
        <f ca="1">RIGHT('SR3'!A19,2)</f>
        <v>H0</v>
      </c>
      <c r="C19" t="str">
        <f ca="1">'SR3'!C19</f>
        <v>H0</v>
      </c>
      <c r="H19" t="e">
        <f ca="1">ER!H19-'SO3'!H19</f>
        <v>#VALUE!</v>
      </c>
      <c r="K19" s="5" t="e">
        <f ca="1">ER!K19-'SO3'!K19</f>
        <v>#VALUE!</v>
      </c>
    </row>
    <row r="20" spans="1:11" x14ac:dyDescent="0.25">
      <c r="A20" t="str">
        <f ca="1">RIGHT('SR3'!A20,2)</f>
        <v>M0</v>
      </c>
      <c r="C20" t="str">
        <f ca="1">'SR3'!C20</f>
        <v>M0</v>
      </c>
      <c r="H20" t="e">
        <f ca="1">ER!H20-'SO3'!H20</f>
        <v>#VALUE!</v>
      </c>
      <c r="K20" s="5" t="e">
        <f ca="1">ER!K20-'SO3'!K20</f>
        <v>#VALUE!</v>
      </c>
    </row>
    <row r="21" spans="1:11" x14ac:dyDescent="0.25">
      <c r="A21" t="str">
        <f ca="1">RIGHT('SR3'!A21,2)</f>
        <v>U0</v>
      </c>
      <c r="C21" t="str">
        <f ca="1">'SR3'!C21</f>
        <v>U0</v>
      </c>
      <c r="H21" t="e">
        <f ca="1">ER!H21-'SO3'!H21</f>
        <v>#VALUE!</v>
      </c>
      <c r="K21" s="5" t="e">
        <f ca="1">ER!K21-'SO3'!K21</f>
        <v>#VALUE!</v>
      </c>
    </row>
    <row r="22" spans="1:11" x14ac:dyDescent="0.25">
      <c r="A22" t="str">
        <f ca="1">RIGHT('SR3'!A22,2)</f>
        <v>Z0</v>
      </c>
      <c r="C22" t="str">
        <f ca="1">'SR3'!C22</f>
        <v>Z0</v>
      </c>
      <c r="H22" t="e">
        <f ca="1">ER!H22-'SO3'!H22</f>
        <v>#VALUE!</v>
      </c>
      <c r="K22" s="5" t="e">
        <f ca="1">ER!K22-'SO3'!K22</f>
        <v>#VALUE!</v>
      </c>
    </row>
    <row r="23" spans="1:11" x14ac:dyDescent="0.25">
      <c r="A23" t="str">
        <f ca="1">RIGHT('SR3'!A23,2)</f>
        <v>H1</v>
      </c>
      <c r="C23" t="str">
        <f ca="1">'SR3'!C23</f>
        <v>H1</v>
      </c>
      <c r="H23" t="e">
        <f ca="1">ER!H23-'SO3'!H23</f>
        <v>#VALUE!</v>
      </c>
      <c r="K23" s="5" t="e">
        <f ca="1">ER!K23-'SO3'!K23</f>
        <v>#VALUE!</v>
      </c>
    </row>
    <row r="24" spans="1:11" x14ac:dyDescent="0.25">
      <c r="A24" t="str">
        <f ca="1">RIGHT('SR3'!A24,2)</f>
        <v>M1</v>
      </c>
      <c r="C24" t="str">
        <f ca="1">'SR3'!C24</f>
        <v>M1</v>
      </c>
      <c r="H24" t="e">
        <f ca="1">ER!H24-'SO3'!H24</f>
        <v>#VALUE!</v>
      </c>
      <c r="K24" s="5" t="e">
        <f ca="1">ER!K24-'SO3'!K24</f>
        <v>#VALUE!</v>
      </c>
    </row>
    <row r="25" spans="1:11" x14ac:dyDescent="0.25">
      <c r="A25" t="str">
        <f ca="1">RIGHT('SR3'!A25,2)</f>
        <v>U1</v>
      </c>
      <c r="C25" t="str">
        <f ca="1">'SR3'!C25</f>
        <v>U1</v>
      </c>
      <c r="H25" t="e">
        <f ca="1">ER!H25-'SO3'!H25</f>
        <v>#VALUE!</v>
      </c>
      <c r="K25" s="5" t="e">
        <f ca="1">ER!K25-'SO3'!K25</f>
        <v>#VALUE!</v>
      </c>
    </row>
    <row r="26" spans="1:11" x14ac:dyDescent="0.25">
      <c r="A26" t="str">
        <f ca="1">RIGHT('SR3'!A26,2)</f>
        <v>Z1</v>
      </c>
      <c r="C26" t="str">
        <f ca="1">'SR3'!C26</f>
        <v>Z1</v>
      </c>
      <c r="H26" t="e">
        <f ca="1">ER!H26-'SO3'!H26</f>
        <v>#VALUE!</v>
      </c>
      <c r="K26" s="5" t="e">
        <f ca="1">ER!K26-'SO3'!K26</f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0F71-F5B5-48C9-92B2-A10024600B00}">
  <dimension ref="A1:L28"/>
  <sheetViews>
    <sheetView workbookViewId="0">
      <selection activeCell="J32" sqref="J32"/>
    </sheetView>
  </sheetViews>
  <sheetFormatPr defaultRowHeight="15" x14ac:dyDescent="0.25"/>
  <sheetData>
    <row r="1" spans="1:12" x14ac:dyDescent="0.25">
      <c r="A1" s="22" t="s">
        <v>94</v>
      </c>
      <c r="B1" s="23" t="s">
        <v>92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95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A3" s="11" t="str">
        <f ca="1">$A$2&amp;" FM"&amp;LEFT('cont list_bg'!G6,1)&amp;"00"&amp;RIGHT('cont list_bg'!G6,2)&amp;"!"</f>
        <v>ER3 FMH0026!</v>
      </c>
      <c r="B3" s="9" t="str">
        <f ca="1">RTD("tt.rtd",,"Inst",$B$1,$A3)</f>
        <v>16193655064494849323</v>
      </c>
      <c r="C3" s="10" t="str">
        <f ca="1">MID(RTD("tt.rtd",,$B3,C$2),7,1)&amp;MID(RTD("tt.rtd",,$B3,C$2),11,1)</f>
        <v>H6</v>
      </c>
      <c r="D3" s="10" t="str">
        <f ca="1">RTD("tt.rtd",,$B3,D$2)</f>
        <v>98.0650</v>
      </c>
      <c r="E3" s="10" t="str">
        <f ca="1">RTD("tt.rtd",,$B3,E$2)</f>
        <v>98.0625</v>
      </c>
      <c r="F3" s="10" t="str">
        <f ca="1">RTD("tt.rtd",,$B3,F$2)</f>
        <v>98.0650</v>
      </c>
      <c r="G3" s="10">
        <f ca="1">RTD("tt.rtd",,$B3,G$2)</f>
        <v>12</v>
      </c>
      <c r="H3" s="10" t="str">
        <f ca="1">RTD("tt.rtd",,$B3,H$2)</f>
        <v>98.0625</v>
      </c>
      <c r="I3" s="10" t="str">
        <f ca="1">RTD("tt.rtd",,$B3,I$2)</f>
        <v>Open</v>
      </c>
      <c r="J3" s="10">
        <f ca="1">RTD("tt.rtd",,$B3,J$2)</f>
        <v>12</v>
      </c>
      <c r="K3" s="5">
        <f ca="1">IFERROR(IF(I3="Open",(E3+D3)/2,H3),H3)</f>
        <v>98.063749999999999</v>
      </c>
      <c r="L3" s="5" t="str">
        <f ca="1">IF(AND(I3="Open",G3&gt;0),F3,K3)</f>
        <v>98.0650</v>
      </c>
    </row>
    <row r="4" spans="1:12" x14ac:dyDescent="0.25">
      <c r="A4" s="11" t="str">
        <f ca="1">$A$2&amp;" FM"&amp;LEFT('cont list_bg'!G7,1)&amp;"00"&amp;RIGHT('cont list_bg'!G7,2)&amp;"!"</f>
        <v>ER3 FMM0026!</v>
      </c>
      <c r="B4" s="9" t="str">
        <f ca="1">RTD("tt.rtd",,"Inst",$B$1,$A4)</f>
        <v>17887834827094596965</v>
      </c>
      <c r="C4" s="10" t="str">
        <f ca="1">MID(RTD("tt.rtd",,$B4,C$2),7,1)&amp;MID(RTD("tt.rtd",,$B4,C$2),11,1)</f>
        <v>M6</v>
      </c>
      <c r="D4" s="10" t="str">
        <f ca="1">RTD("tt.rtd",,$B4,D$2)</f>
        <v>"services.rtd.subscriptionError"</v>
      </c>
      <c r="E4" s="10" t="str">
        <f ca="1">RTD("tt.rtd",,$B4,E$2)</f>
        <v>"services.rtd.subscriptionError"</v>
      </c>
      <c r="F4" s="10" t="str">
        <f ca="1">RTD("tt.rtd",,$B4,F$2)</f>
        <v>"services.rtd.subscriptionError"</v>
      </c>
      <c r="G4" s="10" t="str">
        <f ca="1">RTD("tt.rtd",,$B4,G$2)</f>
        <v>"services.rtd.subscriptionError"</v>
      </c>
      <c r="H4" s="10" t="str">
        <f ca="1">RTD("tt.rtd",,$B4,H$2)</f>
        <v>"services.rtd.subscriptionError"</v>
      </c>
      <c r="I4" s="10" t="str">
        <f ca="1">RTD("tt.rtd",,$B4,I$2)</f>
        <v>"services.rtd.subscriptionError"</v>
      </c>
      <c r="J4" s="10" t="str">
        <f ca="1">RTD("tt.rtd",,$B4,J$2)</f>
        <v>"services.rtd.subscriptionError"</v>
      </c>
      <c r="K4" s="5" t="str">
        <f t="shared" ref="K4:K22" ca="1" si="0">IFERROR(IF(I4="Open",(E4+D4)/2,H4),H4)</f>
        <v>"services.rtd.subscriptionError"</v>
      </c>
      <c r="L4" s="5" t="str">
        <f t="shared" ref="L4:L22" ca="1" si="1">IF(AND(I4="Open",G4&gt;0),F4,K4)</f>
        <v>"services.rtd.subscriptionError"</v>
      </c>
    </row>
    <row r="5" spans="1:12" x14ac:dyDescent="0.25">
      <c r="A5" s="11" t="str">
        <f ca="1">$A$2&amp;" FM"&amp;LEFT('cont list_bg'!G8,1)&amp;"00"&amp;RIGHT('cont list_bg'!G8,2)&amp;"!"</f>
        <v>ER3 FMU0026!</v>
      </c>
      <c r="B5" s="9" t="str">
        <f ca="1">RTD("tt.rtd",,"Inst",$B$1,$A5)</f>
        <v>13942165873650377178</v>
      </c>
      <c r="C5" s="10" t="str">
        <f ca="1">MID(RTD("tt.rtd",,$B5,C$2),7,1)&amp;MID(RTD("tt.rtd",,$B5,C$2),11,1)</f>
        <v>U6</v>
      </c>
      <c r="D5" s="10" t="str">
        <f ca="1">RTD("tt.rtd",,$B5,D$2)</f>
        <v>"services.rtd.subscriptionError"</v>
      </c>
      <c r="E5" s="10" t="str">
        <f ca="1">RTD("tt.rtd",,$B5,E$2)</f>
        <v>"services.rtd.subscriptionError"</v>
      </c>
      <c r="F5" s="10" t="str">
        <f ca="1">RTD("tt.rtd",,$B5,F$2)</f>
        <v>"services.rtd.subscriptionError"</v>
      </c>
      <c r="G5" s="10" t="str">
        <f ca="1">RTD("tt.rtd",,$B5,G$2)</f>
        <v>"services.rtd.subscriptionError"</v>
      </c>
      <c r="H5" s="10" t="str">
        <f ca="1">RTD("tt.rtd",,$B5,H$2)</f>
        <v>"services.rtd.subscriptionError"</v>
      </c>
      <c r="I5" s="10" t="str">
        <f ca="1">RTD("tt.rtd",,$B5,I$2)</f>
        <v>"services.rtd.subscriptionError"</v>
      </c>
      <c r="J5" s="10" t="str">
        <f ca="1">RTD("tt.rtd",,$B5,J$2)</f>
        <v>"services.rtd.subscriptionError"</v>
      </c>
      <c r="K5" s="5" t="str">
        <f t="shared" ca="1" si="0"/>
        <v>"services.rtd.subscriptionError"</v>
      </c>
      <c r="L5" s="5" t="str">
        <f t="shared" ca="1" si="1"/>
        <v>"services.rtd.subscriptionError"</v>
      </c>
    </row>
    <row r="6" spans="1:12" x14ac:dyDescent="0.25">
      <c r="A6" s="11" t="str">
        <f ca="1">$A$2&amp;" FM"&amp;LEFT('cont list_bg'!G9,1)&amp;"00"&amp;RIGHT('cont list_bg'!G9,2)&amp;"!"</f>
        <v>ER3 FMZ0026!</v>
      </c>
      <c r="B6" s="9" t="str">
        <f ca="1">RTD("tt.rtd",,"Inst",$B$1,$A6)</f>
        <v>4095991086729837254</v>
      </c>
      <c r="C6" s="10" t="str">
        <f ca="1">MID(RTD("tt.rtd",,$B6,C$2),7,1)&amp;MID(RTD("tt.rtd",,$B6,C$2),11,1)</f>
        <v>Z6</v>
      </c>
      <c r="D6" s="10" t="str">
        <f ca="1">RTD("tt.rtd",,$B6,D$2)</f>
        <v>"services.rtd.subscriptionError"</v>
      </c>
      <c r="E6" s="10" t="str">
        <f ca="1">RTD("tt.rtd",,$B6,E$2)</f>
        <v>"services.rtd.subscriptionError"</v>
      </c>
      <c r="F6" s="10" t="str">
        <f ca="1">RTD("tt.rtd",,$B6,F$2)</f>
        <v>"services.rtd.subscriptionError"</v>
      </c>
      <c r="G6" s="10" t="str">
        <f ca="1">RTD("tt.rtd",,$B6,G$2)</f>
        <v>"services.rtd.subscriptionError"</v>
      </c>
      <c r="H6" s="10" t="str">
        <f ca="1">RTD("tt.rtd",,$B6,H$2)</f>
        <v>"services.rtd.subscriptionError"</v>
      </c>
      <c r="I6" s="10" t="str">
        <f ca="1">RTD("tt.rtd",,$B6,I$2)</f>
        <v>"services.rtd.subscriptionError"</v>
      </c>
      <c r="J6" s="10" t="str">
        <f ca="1">RTD("tt.rtd",,$B6,J$2)</f>
        <v>"services.rtd.subscriptionError"</v>
      </c>
      <c r="K6" s="5" t="str">
        <f t="shared" ca="1" si="0"/>
        <v>"services.rtd.subscriptionError"</v>
      </c>
      <c r="L6" s="5" t="str">
        <f t="shared" ca="1" si="1"/>
        <v>"services.rtd.subscriptionError"</v>
      </c>
    </row>
    <row r="7" spans="1:12" x14ac:dyDescent="0.25">
      <c r="A7" s="11" t="str">
        <f ca="1">$A$2&amp;" FM"&amp;LEFT('cont list_bg'!G10,1)&amp;"00"&amp;RIGHT('cont list_bg'!G10,2)&amp;"!"</f>
        <v>ER3 FMH0027!</v>
      </c>
      <c r="B7" s="9" t="str">
        <f ca="1">RTD("tt.rtd",,"Inst",$B$1,$A7)</f>
        <v>6978109625607659725</v>
      </c>
      <c r="C7" s="10" t="str">
        <f ca="1">MID(RTD("tt.rtd",,$B7,C$2),7,1)&amp;MID(RTD("tt.rtd",,$B7,C$2),11,1)</f>
        <v>H7</v>
      </c>
      <c r="D7" s="10" t="str">
        <f ca="1">RTD("tt.rtd",,$B7,D$2)</f>
        <v>"services.rtd.subscriptionError"</v>
      </c>
      <c r="E7" s="10" t="str">
        <f ca="1">RTD("tt.rtd",,$B7,E$2)</f>
        <v>"services.rtd.subscriptionError"</v>
      </c>
      <c r="F7" s="10" t="str">
        <f ca="1">RTD("tt.rtd",,$B7,F$2)</f>
        <v>"services.rtd.subscriptionError"</v>
      </c>
      <c r="G7" s="10" t="str">
        <f ca="1">RTD("tt.rtd",,$B7,G$2)</f>
        <v>"services.rtd.subscriptionError"</v>
      </c>
      <c r="H7" s="10" t="str">
        <f ca="1">RTD("tt.rtd",,$B7,H$2)</f>
        <v>"services.rtd.subscriptionError"</v>
      </c>
      <c r="I7" s="10" t="str">
        <f ca="1">RTD("tt.rtd",,$B7,I$2)</f>
        <v>"services.rtd.subscriptionError"</v>
      </c>
      <c r="J7" s="10" t="str">
        <f ca="1">RTD("tt.rtd",,$B7,J$2)</f>
        <v>"services.rtd.subscriptionError"</v>
      </c>
      <c r="K7" s="5" t="str">
        <f t="shared" ca="1" si="0"/>
        <v>"services.rtd.subscriptionError"</v>
      </c>
      <c r="L7" s="5" t="str">
        <f t="shared" ca="1" si="1"/>
        <v>"services.rtd.subscriptionError"</v>
      </c>
    </row>
    <row r="8" spans="1:12" x14ac:dyDescent="0.25">
      <c r="A8" s="11" t="str">
        <f ca="1">$A$2&amp;" FM"&amp;LEFT('cont list_bg'!G11,1)&amp;"00"&amp;RIGHT('cont list_bg'!G11,2)&amp;"!"</f>
        <v>ER3 FMM0027!</v>
      </c>
      <c r="B8" s="9" t="str">
        <f ca="1">RTD("tt.rtd",,"Inst",$B$1,$A8)</f>
        <v>1617737763414000389</v>
      </c>
      <c r="C8" s="10" t="str">
        <f ca="1">MID(RTD("tt.rtd",,$B8,C$2),7,1)&amp;MID(RTD("tt.rtd",,$B8,C$2),11,1)</f>
        <v>M7</v>
      </c>
      <c r="D8" s="10" t="str">
        <f ca="1">RTD("tt.rtd",,$B8,D$2)</f>
        <v>"services.rtd.subscriptionError"</v>
      </c>
      <c r="E8" s="10" t="str">
        <f ca="1">RTD("tt.rtd",,$B8,E$2)</f>
        <v>"services.rtd.subscriptionError"</v>
      </c>
      <c r="F8" s="10" t="str">
        <f ca="1">RTD("tt.rtd",,$B8,F$2)</f>
        <v>"services.rtd.subscriptionError"</v>
      </c>
      <c r="G8" s="10" t="str">
        <f ca="1">RTD("tt.rtd",,$B8,G$2)</f>
        <v>"services.rtd.subscriptionError"</v>
      </c>
      <c r="H8" s="10" t="str">
        <f ca="1">RTD("tt.rtd",,$B8,H$2)</f>
        <v>"services.rtd.subscriptionError"</v>
      </c>
      <c r="I8" s="10" t="str">
        <f ca="1">RTD("tt.rtd",,$B8,I$2)</f>
        <v>"services.rtd.subscriptionError"</v>
      </c>
      <c r="J8" s="10" t="str">
        <f ca="1">RTD("tt.rtd",,$B8,J$2)</f>
        <v>"services.rtd.subscriptionError"</v>
      </c>
      <c r="K8" s="5" t="str">
        <f t="shared" ca="1" si="0"/>
        <v>"services.rtd.subscriptionError"</v>
      </c>
      <c r="L8" s="5" t="str">
        <f t="shared" ca="1" si="1"/>
        <v>"services.rtd.subscriptionError"</v>
      </c>
    </row>
    <row r="9" spans="1:12" x14ac:dyDescent="0.25">
      <c r="A9" s="11" t="str">
        <f ca="1">$A$2&amp;" FM"&amp;LEFT('cont list_bg'!G12,1)&amp;"00"&amp;RIGHT('cont list_bg'!G12,2)&amp;"!"</f>
        <v>ER3 FMU0027!</v>
      </c>
      <c r="B9" s="9" t="str">
        <f ca="1">RTD("tt.rtd",,"Inst",$B$1,$A9)</f>
        <v>12062554666991936143</v>
      </c>
      <c r="C9" s="10" t="str">
        <f ca="1">MID(RTD("tt.rtd",,$B9,C$2),7,1)&amp;MID(RTD("tt.rtd",,$B9,C$2),11,1)</f>
        <v>U7</v>
      </c>
      <c r="D9" s="10" t="str">
        <f ca="1">RTD("tt.rtd",,$B9,D$2)</f>
        <v>"services.rtd.subscriptionError"</v>
      </c>
      <c r="E9" s="10" t="str">
        <f ca="1">RTD("tt.rtd",,$B9,E$2)</f>
        <v>"services.rtd.subscriptionError"</v>
      </c>
      <c r="F9" s="10" t="str">
        <f ca="1">RTD("tt.rtd",,$B9,F$2)</f>
        <v>"services.rtd.subscriptionError"</v>
      </c>
      <c r="G9" s="10" t="str">
        <f ca="1">RTD("tt.rtd",,$B9,G$2)</f>
        <v>"services.rtd.subscriptionError"</v>
      </c>
      <c r="H9" s="10" t="str">
        <f ca="1">RTD("tt.rtd",,$B9,H$2)</f>
        <v>"services.rtd.subscriptionError"</v>
      </c>
      <c r="I9" s="10" t="str">
        <f ca="1">RTD("tt.rtd",,$B9,I$2)</f>
        <v>"services.rtd.subscriptionError"</v>
      </c>
      <c r="J9" s="10" t="str">
        <f ca="1">RTD("tt.rtd",,$B9,J$2)</f>
        <v>"services.rtd.subscriptionError"</v>
      </c>
      <c r="K9" s="5" t="str">
        <f t="shared" ca="1" si="0"/>
        <v>"services.rtd.subscriptionError"</v>
      </c>
      <c r="L9" s="5" t="str">
        <f t="shared" ca="1" si="1"/>
        <v>"services.rtd.subscriptionError"</v>
      </c>
    </row>
    <row r="10" spans="1:12" x14ac:dyDescent="0.25">
      <c r="A10" s="11" t="str">
        <f ca="1">$A$2&amp;" FM"&amp;LEFT('cont list_bg'!G13,1)&amp;"00"&amp;RIGHT('cont list_bg'!G13,2)&amp;"!"</f>
        <v>ER3 FMZ0027!</v>
      </c>
      <c r="B10" s="9" t="str">
        <f ca="1">RTD("tt.rtd",,"Inst",$B$1,$A10)</f>
        <v>10640221686516715116</v>
      </c>
      <c r="C10" s="10" t="str">
        <f ca="1">MID(RTD("tt.rtd",,$B10,C$2),7,1)&amp;MID(RTD("tt.rtd",,$B10,C$2),11,1)</f>
        <v>Z7</v>
      </c>
      <c r="D10" s="10" t="str">
        <f ca="1">RTD("tt.rtd",,$B10,D$2)</f>
        <v>"services.rtd.subscriptionError"</v>
      </c>
      <c r="E10" s="10" t="str">
        <f ca="1">RTD("tt.rtd",,$B10,E$2)</f>
        <v>"services.rtd.subscriptionError"</v>
      </c>
      <c r="F10" s="10" t="str">
        <f ca="1">RTD("tt.rtd",,$B10,F$2)</f>
        <v>"services.rtd.subscriptionError"</v>
      </c>
      <c r="G10" s="10" t="str">
        <f ca="1">RTD("tt.rtd",,$B10,G$2)</f>
        <v>"services.rtd.subscriptionError"</v>
      </c>
      <c r="H10" s="10" t="str">
        <f ca="1">RTD("tt.rtd",,$B10,H$2)</f>
        <v>"services.rtd.subscriptionError"</v>
      </c>
      <c r="I10" s="10" t="str">
        <f ca="1">RTD("tt.rtd",,$B10,I$2)</f>
        <v>"services.rtd.subscriptionError"</v>
      </c>
      <c r="J10" s="10" t="str">
        <f ca="1">RTD("tt.rtd",,$B10,J$2)</f>
        <v>"services.rtd.subscriptionError"</v>
      </c>
      <c r="K10" s="5" t="str">
        <f t="shared" ca="1" si="0"/>
        <v>"services.rtd.subscriptionError"</v>
      </c>
      <c r="L10" s="5" t="str">
        <f t="shared" ca="1" si="1"/>
        <v>"services.rtd.subscriptionError"</v>
      </c>
    </row>
    <row r="11" spans="1:12" x14ac:dyDescent="0.25">
      <c r="A11" s="11" t="str">
        <f ca="1">$A$2&amp;" FM"&amp;LEFT('cont list_bg'!G14,1)&amp;"00"&amp;RIGHT('cont list_bg'!G14,2)&amp;"!"</f>
        <v>ER3 FMH0028!</v>
      </c>
      <c r="B11" s="9" t="str">
        <f ca="1">RTD("tt.rtd",,"Inst",$B$1,$A11)</f>
        <v>12215144550695335695</v>
      </c>
      <c r="C11" s="10" t="str">
        <f ca="1">MID(RTD("tt.rtd",,$B11,C$2),7,1)&amp;MID(RTD("tt.rtd",,$B11,C$2),11,1)</f>
        <v>H8</v>
      </c>
      <c r="D11" s="10" t="str">
        <f ca="1">RTD("tt.rtd",,$B11,D$2)</f>
        <v>"services.rtd.subscriptionError"</v>
      </c>
      <c r="E11" s="10" t="str">
        <f ca="1">RTD("tt.rtd",,$B11,E$2)</f>
        <v>"services.rtd.subscriptionError"</v>
      </c>
      <c r="F11" s="10" t="str">
        <f ca="1">RTD("tt.rtd",,$B11,F$2)</f>
        <v>"services.rtd.subscriptionError"</v>
      </c>
      <c r="G11" s="10" t="str">
        <f ca="1">RTD("tt.rtd",,$B11,G$2)</f>
        <v>"services.rtd.subscriptionError"</v>
      </c>
      <c r="H11" s="10" t="str">
        <f ca="1">RTD("tt.rtd",,$B11,H$2)</f>
        <v>"services.rtd.subscriptionError"</v>
      </c>
      <c r="I11" s="10" t="str">
        <f ca="1">RTD("tt.rtd",,$B11,I$2)</f>
        <v>"services.rtd.subscriptionError"</v>
      </c>
      <c r="J11" s="10" t="str">
        <f ca="1">RTD("tt.rtd",,$B11,J$2)</f>
        <v>"services.rtd.subscriptionError"</v>
      </c>
      <c r="K11" s="5" t="str">
        <f t="shared" ca="1" si="0"/>
        <v>"services.rtd.subscriptionError"</v>
      </c>
      <c r="L11" s="5" t="str">
        <f t="shared" ca="1" si="1"/>
        <v>"services.rtd.subscriptionError"</v>
      </c>
    </row>
    <row r="12" spans="1:12" x14ac:dyDescent="0.25">
      <c r="A12" s="11" t="str">
        <f ca="1">$A$2&amp;" FM"&amp;LEFT('cont list_bg'!G15,1)&amp;"00"&amp;RIGHT('cont list_bg'!G15,2)&amp;"!"</f>
        <v>ER3 FMM0028!</v>
      </c>
      <c r="B12" s="9" t="str">
        <f ca="1">RTD("tt.rtd",,"Inst",$B$1,$A12)</f>
        <v>7543045276132469533</v>
      </c>
      <c r="C12" s="10" t="str">
        <f ca="1">MID(RTD("tt.rtd",,$B12,C$2),7,1)&amp;MID(RTD("tt.rtd",,$B12,C$2),11,1)</f>
        <v>M8</v>
      </c>
      <c r="D12" s="10" t="str">
        <f ca="1">RTD("tt.rtd",,$B12,D$2)</f>
        <v>"services.rtd.subscriptionError"</v>
      </c>
      <c r="E12" s="10" t="str">
        <f ca="1">RTD("tt.rtd",,$B12,E$2)</f>
        <v>"services.rtd.subscriptionError"</v>
      </c>
      <c r="F12" s="10" t="str">
        <f ca="1">RTD("tt.rtd",,$B12,F$2)</f>
        <v>"services.rtd.subscriptionError"</v>
      </c>
      <c r="G12" s="10" t="str">
        <f ca="1">RTD("tt.rtd",,$B12,G$2)</f>
        <v>"services.rtd.subscriptionError"</v>
      </c>
      <c r="H12" s="10" t="str">
        <f ca="1">RTD("tt.rtd",,$B12,H$2)</f>
        <v>"services.rtd.subscriptionError"</v>
      </c>
      <c r="I12" s="10" t="str">
        <f ca="1">RTD("tt.rtd",,$B12,I$2)</f>
        <v>"services.rtd.subscriptionError"</v>
      </c>
      <c r="J12" s="10" t="str">
        <f ca="1">RTD("tt.rtd",,$B12,J$2)</f>
        <v>"services.rtd.subscriptionError"</v>
      </c>
      <c r="K12" s="5" t="str">
        <f t="shared" ca="1" si="0"/>
        <v>"services.rtd.subscriptionError"</v>
      </c>
      <c r="L12" s="5" t="str">
        <f t="shared" ca="1" si="1"/>
        <v>"services.rtd.subscriptionError"</v>
      </c>
    </row>
    <row r="13" spans="1:12" x14ac:dyDescent="0.25">
      <c r="A13" s="11" t="str">
        <f ca="1">$A$2&amp;" FM"&amp;LEFT('cont list_bg'!G16,1)&amp;"00"&amp;RIGHT('cont list_bg'!G16,2)&amp;"!"</f>
        <v>ER3 FMU0028!</v>
      </c>
      <c r="B13" s="9" t="str">
        <f ca="1">RTD("tt.rtd",,"Inst",$B$1,$A13)</f>
        <v>978230606953087791</v>
      </c>
      <c r="C13" s="10" t="str">
        <f ca="1">MID(RTD("tt.rtd",,$B13,C$2),7,1)&amp;MID(RTD("tt.rtd",,$B13,C$2),11,1)</f>
        <v>U8</v>
      </c>
      <c r="D13" s="10" t="str">
        <f ca="1">RTD("tt.rtd",,$B13,D$2)</f>
        <v>"services.rtd.subscriptionError"</v>
      </c>
      <c r="E13" s="10" t="str">
        <f ca="1">RTD("tt.rtd",,$B13,E$2)</f>
        <v>"services.rtd.subscriptionError"</v>
      </c>
      <c r="F13" s="10" t="str">
        <f ca="1">RTD("tt.rtd",,$B13,F$2)</f>
        <v>"services.rtd.subscriptionError"</v>
      </c>
      <c r="G13" s="10" t="str">
        <f ca="1">RTD("tt.rtd",,$B13,G$2)</f>
        <v>"services.rtd.subscriptionError"</v>
      </c>
      <c r="H13" s="10" t="str">
        <f ca="1">RTD("tt.rtd",,$B13,H$2)</f>
        <v>"services.rtd.subscriptionError"</v>
      </c>
      <c r="I13" s="10" t="str">
        <f ca="1">RTD("tt.rtd",,$B13,I$2)</f>
        <v>"services.rtd.subscriptionError"</v>
      </c>
      <c r="J13" s="10" t="str">
        <f ca="1">RTD("tt.rtd",,$B13,J$2)</f>
        <v>"services.rtd.subscriptionError"</v>
      </c>
      <c r="K13" s="5" t="str">
        <f t="shared" ca="1" si="0"/>
        <v>"services.rtd.subscriptionError"</v>
      </c>
      <c r="L13" s="5" t="str">
        <f t="shared" ca="1" si="1"/>
        <v>"services.rtd.subscriptionError"</v>
      </c>
    </row>
    <row r="14" spans="1:12" x14ac:dyDescent="0.25">
      <c r="A14" s="11" t="str">
        <f ca="1">$A$2&amp;" FM"&amp;LEFT('cont list_bg'!G17,1)&amp;"00"&amp;RIGHT('cont list_bg'!G17,2)&amp;"!"</f>
        <v>ER3 FMZ0028!</v>
      </c>
      <c r="B14" s="9" t="str">
        <f ca="1">RTD("tt.rtd",,"Inst",$B$1,$A14)</f>
        <v>3161274050251907543</v>
      </c>
      <c r="C14" s="10" t="str">
        <f ca="1">MID(RTD("tt.rtd",,$B14,C$2),7,1)&amp;MID(RTD("tt.rtd",,$B14,C$2),11,1)</f>
        <v>Z8</v>
      </c>
      <c r="D14" s="10" t="str">
        <f ca="1">RTD("tt.rtd",,$B14,D$2)</f>
        <v>"services.rtd.subscriptionError"</v>
      </c>
      <c r="E14" s="10" t="str">
        <f ca="1">RTD("tt.rtd",,$B14,E$2)</f>
        <v>"services.rtd.subscriptionError"</v>
      </c>
      <c r="F14" s="10" t="str">
        <f ca="1">RTD("tt.rtd",,$B14,F$2)</f>
        <v>"services.rtd.subscriptionError"</v>
      </c>
      <c r="G14" s="10" t="str">
        <f ca="1">RTD("tt.rtd",,$B14,G$2)</f>
        <v>"services.rtd.subscriptionError"</v>
      </c>
      <c r="H14" s="10" t="str">
        <f ca="1">RTD("tt.rtd",,$B14,H$2)</f>
        <v>"services.rtd.subscriptionError"</v>
      </c>
      <c r="I14" s="10" t="str">
        <f ca="1">RTD("tt.rtd",,$B14,I$2)</f>
        <v>"services.rtd.subscriptionError"</v>
      </c>
      <c r="J14" s="10" t="str">
        <f ca="1">RTD("tt.rtd",,$B14,J$2)</f>
        <v>"services.rtd.subscriptionError"</v>
      </c>
      <c r="K14" s="5" t="str">
        <f t="shared" ca="1" si="0"/>
        <v>"services.rtd.subscriptionError"</v>
      </c>
      <c r="L14" s="5" t="str">
        <f t="shared" ca="1" si="1"/>
        <v>"services.rtd.subscriptionError"</v>
      </c>
    </row>
    <row r="15" spans="1:12" x14ac:dyDescent="0.25">
      <c r="A15" s="11" t="str">
        <f ca="1">$A$2&amp;" FM"&amp;LEFT('cont list_bg'!G18,1)&amp;"00"&amp;RIGHT('cont list_bg'!G18,2)&amp;"!"</f>
        <v>ER3 FMH0029!</v>
      </c>
      <c r="B15" s="9" t="str">
        <f ca="1">RTD("tt.rtd",,"Inst",$B$1,$A15)</f>
        <v>4293326410978229541</v>
      </c>
      <c r="C15" s="10" t="str">
        <f ca="1">MID(RTD("tt.rtd",,$B15,C$2),7,1)&amp;MID(RTD("tt.rtd",,$B15,C$2),11,1)</f>
        <v>H9</v>
      </c>
      <c r="D15" s="10" t="str">
        <f ca="1">RTD("tt.rtd",,$B15,D$2)</f>
        <v>"services.rtd.subscriptionError"</v>
      </c>
      <c r="E15" s="10" t="str">
        <f ca="1">RTD("tt.rtd",,$B15,E$2)</f>
        <v>"services.rtd.subscriptionError"</v>
      </c>
      <c r="F15" s="10" t="str">
        <f ca="1">RTD("tt.rtd",,$B15,F$2)</f>
        <v>"services.rtd.subscriptionError"</v>
      </c>
      <c r="G15" s="10" t="str">
        <f ca="1">RTD("tt.rtd",,$B15,G$2)</f>
        <v>"services.rtd.subscriptionError"</v>
      </c>
      <c r="H15" s="10" t="str">
        <f ca="1">RTD("tt.rtd",,$B15,H$2)</f>
        <v>"services.rtd.subscriptionError"</v>
      </c>
      <c r="I15" s="10" t="str">
        <f ca="1">RTD("tt.rtd",,$B15,I$2)</f>
        <v>"services.rtd.subscriptionError"</v>
      </c>
      <c r="J15" s="10" t="str">
        <f ca="1">RTD("tt.rtd",,$B15,J$2)</f>
        <v>"services.rtd.subscriptionError"</v>
      </c>
      <c r="K15" s="5" t="str">
        <f t="shared" ca="1" si="0"/>
        <v>"services.rtd.subscriptionError"</v>
      </c>
      <c r="L15" s="5" t="str">
        <f t="shared" ca="1" si="1"/>
        <v>"services.rtd.subscriptionError"</v>
      </c>
    </row>
    <row r="16" spans="1:12" x14ac:dyDescent="0.25">
      <c r="A16" s="11" t="str">
        <f ca="1">$A$2&amp;" FM"&amp;LEFT('cont list_bg'!G19,1)&amp;"00"&amp;RIGHT('cont list_bg'!G19,2)&amp;"!"</f>
        <v>ER3 FMM0029!</v>
      </c>
      <c r="B16" s="9" t="str">
        <f ca="1">RTD("tt.rtd",,"Inst",$B$1,$A16)</f>
        <v>17711323309675939815</v>
      </c>
      <c r="C16" s="10" t="str">
        <f ca="1">MID(RTD("tt.rtd",,$B16,C$2),7,1)&amp;MID(RTD("tt.rtd",,$B16,C$2),11,1)</f>
        <v>M9</v>
      </c>
      <c r="D16" s="10" t="str">
        <f ca="1">RTD("tt.rtd",,$B16,D$2)</f>
        <v>"services.rtd.subscriptionError"</v>
      </c>
      <c r="E16" s="10" t="str">
        <f ca="1">RTD("tt.rtd",,$B16,E$2)</f>
        <v>"services.rtd.subscriptionError"</v>
      </c>
      <c r="F16" s="10" t="str">
        <f ca="1">RTD("tt.rtd",,$B16,F$2)</f>
        <v>"services.rtd.subscriptionError"</v>
      </c>
      <c r="G16" s="10" t="str">
        <f ca="1">RTD("tt.rtd",,$B16,G$2)</f>
        <v>"services.rtd.subscriptionError"</v>
      </c>
      <c r="H16" s="10" t="str">
        <f ca="1">RTD("tt.rtd",,$B16,H$2)</f>
        <v>"services.rtd.subscriptionError"</v>
      </c>
      <c r="I16" s="10" t="str">
        <f ca="1">RTD("tt.rtd",,$B16,I$2)</f>
        <v>"services.rtd.subscriptionError"</v>
      </c>
      <c r="J16" s="10" t="str">
        <f ca="1">RTD("tt.rtd",,$B16,J$2)</f>
        <v>"services.rtd.subscriptionError"</v>
      </c>
      <c r="K16" s="5" t="str">
        <f t="shared" ca="1" si="0"/>
        <v>"services.rtd.subscriptionError"</v>
      </c>
      <c r="L16" s="5" t="str">
        <f t="shared" ca="1" si="1"/>
        <v>"services.rtd.subscriptionError"</v>
      </c>
    </row>
    <row r="17" spans="1:12" x14ac:dyDescent="0.25">
      <c r="A17" s="11" t="str">
        <f ca="1">$A$2&amp;" FM"&amp;LEFT('cont list_bg'!G20,1)&amp;"00"&amp;RIGHT('cont list_bg'!G20,2)&amp;"!"</f>
        <v>ER3 FMU0029!</v>
      </c>
      <c r="B17" s="9" t="str">
        <f ca="1">RTD("tt.rtd",,"Inst",$B$1,$A17)</f>
        <v>4020974588637570309</v>
      </c>
      <c r="C17" s="10" t="str">
        <f ca="1">MID(RTD("tt.rtd",,$B17,C$2),7,1)&amp;MID(RTD("tt.rtd",,$B17,C$2),11,1)</f>
        <v>U9</v>
      </c>
      <c r="D17" s="10" t="str">
        <f ca="1">RTD("tt.rtd",,$B17,D$2)</f>
        <v>"services.rtd.subscriptionError"</v>
      </c>
      <c r="E17" s="10" t="str">
        <f ca="1">RTD("tt.rtd",,$B17,E$2)</f>
        <v>"services.rtd.subscriptionError"</v>
      </c>
      <c r="F17" s="10" t="str">
        <f ca="1">RTD("tt.rtd",,$B17,F$2)</f>
        <v>"services.rtd.subscriptionError"</v>
      </c>
      <c r="G17" s="10" t="str">
        <f ca="1">RTD("tt.rtd",,$B17,G$2)</f>
        <v>"services.rtd.subscriptionError"</v>
      </c>
      <c r="H17" s="10" t="str">
        <f ca="1">RTD("tt.rtd",,$B17,H$2)</f>
        <v>"services.rtd.subscriptionError"</v>
      </c>
      <c r="I17" s="10" t="str">
        <f ca="1">RTD("tt.rtd",,$B17,I$2)</f>
        <v>"services.rtd.subscriptionError"</v>
      </c>
      <c r="J17" s="10" t="str">
        <f ca="1">RTD("tt.rtd",,$B17,J$2)</f>
        <v>"services.rtd.subscriptionError"</v>
      </c>
      <c r="K17" s="5" t="str">
        <f t="shared" ca="1" si="0"/>
        <v>"services.rtd.subscriptionError"</v>
      </c>
      <c r="L17" s="5" t="str">
        <f t="shared" ca="1" si="1"/>
        <v>"services.rtd.subscriptionError"</v>
      </c>
    </row>
    <row r="18" spans="1:12" x14ac:dyDescent="0.25">
      <c r="A18" s="11" t="str">
        <f ca="1">$A$2&amp;" FM"&amp;LEFT('cont list_bg'!G21,1)&amp;"00"&amp;RIGHT('cont list_bg'!G21,2)&amp;"!"</f>
        <v>ER3 FMZ0029!</v>
      </c>
      <c r="B18" s="9" t="str">
        <f ca="1">RTD("tt.rtd",,"Inst",$B$1,$A18)</f>
        <v>3779534020756663275</v>
      </c>
      <c r="C18" s="10" t="str">
        <f ca="1">MID(RTD("tt.rtd",,$B18,C$2),7,1)&amp;MID(RTD("tt.rtd",,$B18,C$2),11,1)</f>
        <v>Z9</v>
      </c>
      <c r="D18" s="10" t="str">
        <f ca="1">RTD("tt.rtd",,$B18,D$2)</f>
        <v>"services.rtd.subscriptionError"</v>
      </c>
      <c r="E18" s="10" t="str">
        <f ca="1">RTD("tt.rtd",,$B18,E$2)</f>
        <v>"services.rtd.subscriptionError"</v>
      </c>
      <c r="F18" s="10" t="str">
        <f ca="1">RTD("tt.rtd",,$B18,F$2)</f>
        <v>"services.rtd.subscriptionError"</v>
      </c>
      <c r="G18" s="10" t="str">
        <f ca="1">RTD("tt.rtd",,$B18,G$2)</f>
        <v>"services.rtd.subscriptionError"</v>
      </c>
      <c r="H18" s="10" t="str">
        <f ca="1">RTD("tt.rtd",,$B18,H$2)</f>
        <v>"services.rtd.subscriptionError"</v>
      </c>
      <c r="I18" s="10" t="str">
        <f ca="1">RTD("tt.rtd",,$B18,I$2)</f>
        <v>"services.rtd.subscriptionError"</v>
      </c>
      <c r="J18" s="10" t="str">
        <f ca="1">RTD("tt.rtd",,$B18,J$2)</f>
        <v>"services.rtd.subscriptionError"</v>
      </c>
      <c r="K18" s="5" t="str">
        <f t="shared" ca="1" si="0"/>
        <v>"services.rtd.subscriptionError"</v>
      </c>
      <c r="L18" s="5" t="str">
        <f t="shared" ca="1" si="1"/>
        <v>"services.rtd.subscriptionError"</v>
      </c>
    </row>
    <row r="19" spans="1:12" x14ac:dyDescent="0.25">
      <c r="A19" s="11" t="str">
        <f ca="1">$A$2&amp;" FM"&amp;LEFT('cont list_bg'!G22,1)&amp;"00"&amp;RIGHT('cont list_bg'!G22,2)&amp;"!"</f>
        <v>ER3 FMH0030!</v>
      </c>
      <c r="B19" s="9" t="str">
        <f ca="1">RTD("tt.rtd",,"Inst",$B$1,$A19)</f>
        <v>4168309689089408432</v>
      </c>
      <c r="C19" s="10" t="str">
        <f ca="1">MID(RTD("tt.rtd",,$B19,C$2),7,1)&amp;MID(RTD("tt.rtd",,$B19,C$2),11,1)</f>
        <v>H0</v>
      </c>
      <c r="D19" s="10" t="str">
        <f ca="1">RTD("tt.rtd",,$B19,D$2)</f>
        <v>"services.rtd.subscriptionError"</v>
      </c>
      <c r="E19" s="10" t="str">
        <f ca="1">RTD("tt.rtd",,$B19,E$2)</f>
        <v>"services.rtd.subscriptionError"</v>
      </c>
      <c r="F19" s="10" t="str">
        <f ca="1">RTD("tt.rtd",,$B19,F$2)</f>
        <v>"services.rtd.subscriptionError"</v>
      </c>
      <c r="G19" s="10" t="str">
        <f ca="1">RTD("tt.rtd",,$B19,G$2)</f>
        <v>"services.rtd.subscriptionError"</v>
      </c>
      <c r="H19" s="10" t="str">
        <f ca="1">RTD("tt.rtd",,$B19,H$2)</f>
        <v>"services.rtd.subscriptionError"</v>
      </c>
      <c r="I19" s="10" t="str">
        <f ca="1">RTD("tt.rtd",,$B19,I$2)</f>
        <v>"services.rtd.subscriptionError"</v>
      </c>
      <c r="J19" s="10" t="str">
        <f ca="1">RTD("tt.rtd",,$B19,J$2)</f>
        <v>"services.rtd.subscriptionError"</v>
      </c>
      <c r="K19" s="5" t="str">
        <f t="shared" ca="1" si="0"/>
        <v>"services.rtd.subscriptionError"</v>
      </c>
      <c r="L19" s="5" t="str">
        <f t="shared" ca="1" si="1"/>
        <v>"services.rtd.subscriptionError"</v>
      </c>
    </row>
    <row r="20" spans="1:12" x14ac:dyDescent="0.25">
      <c r="A20" s="11" t="str">
        <f ca="1">$A$2&amp;" FM"&amp;LEFT('cont list_bg'!G23,1)&amp;"00"&amp;RIGHT('cont list_bg'!G23,2)&amp;"!"</f>
        <v>ER3 FMM0030!</v>
      </c>
      <c r="B20" s="9" t="str">
        <f ca="1">RTD("tt.rtd",,"Inst",$B$1,$A20)</f>
        <v>18015794537179585282</v>
      </c>
      <c r="C20" s="10" t="str">
        <f ca="1">MID(RTD("tt.rtd",,$B20,C$2),7,1)&amp;MID(RTD("tt.rtd",,$B20,C$2),11,1)</f>
        <v>M0</v>
      </c>
      <c r="D20" s="10" t="str">
        <f ca="1">RTD("tt.rtd",,$B20,D$2)</f>
        <v>"services.rtd.subscriptionError"</v>
      </c>
      <c r="E20" s="10" t="str">
        <f ca="1">RTD("tt.rtd",,$B20,E$2)</f>
        <v>"services.rtd.subscriptionError"</v>
      </c>
      <c r="F20" s="10" t="str">
        <f ca="1">RTD("tt.rtd",,$B20,F$2)</f>
        <v>"services.rtd.subscriptionError"</v>
      </c>
      <c r="G20" s="10" t="str">
        <f ca="1">RTD("tt.rtd",,$B20,G$2)</f>
        <v>"services.rtd.subscriptionError"</v>
      </c>
      <c r="H20" s="10" t="str">
        <f ca="1">RTD("tt.rtd",,$B20,H$2)</f>
        <v>"services.rtd.subscriptionError"</v>
      </c>
      <c r="I20" s="10" t="str">
        <f ca="1">RTD("tt.rtd",,$B20,I$2)</f>
        <v>"services.rtd.subscriptionError"</v>
      </c>
      <c r="J20" s="10" t="str">
        <f ca="1">RTD("tt.rtd",,$B20,J$2)</f>
        <v>"services.rtd.subscriptionError"</v>
      </c>
      <c r="K20" s="5" t="str">
        <f t="shared" ca="1" si="0"/>
        <v>"services.rtd.subscriptionError"</v>
      </c>
      <c r="L20" s="5" t="str">
        <f t="shared" ca="1" si="1"/>
        <v>"services.rtd.subscriptionError"</v>
      </c>
    </row>
    <row r="21" spans="1:12" x14ac:dyDescent="0.25">
      <c r="A21" s="11" t="str">
        <f ca="1">$A$2&amp;" FM"&amp;LEFT('cont list_bg'!G24,1)&amp;"00"&amp;RIGHT('cont list_bg'!G24,2)&amp;"!"</f>
        <v>ER3 FMU0030!</v>
      </c>
      <c r="B21" s="9" t="str">
        <f ca="1">RTD("tt.rtd",,"Inst",$B$1,$A21)</f>
        <v>2156362514544478257</v>
      </c>
      <c r="C21" s="10" t="str">
        <f ca="1">MID(RTD("tt.rtd",,$B21,C$2),7,1)&amp;MID(RTD("tt.rtd",,$B21,C$2),11,1)</f>
        <v>U0</v>
      </c>
      <c r="D21" s="10" t="str">
        <f ca="1">RTD("tt.rtd",,$B21,D$2)</f>
        <v>"services.rtd.subscriptionError"</v>
      </c>
      <c r="E21" s="10" t="str">
        <f ca="1">RTD("tt.rtd",,$B21,E$2)</f>
        <v>"services.rtd.subscriptionError"</v>
      </c>
      <c r="F21" s="10" t="str">
        <f ca="1">RTD("tt.rtd",,$B21,F$2)</f>
        <v>"services.rtd.subscriptionError"</v>
      </c>
      <c r="G21" s="10" t="str">
        <f ca="1">RTD("tt.rtd",,$B21,G$2)</f>
        <v>"services.rtd.subscriptionError"</v>
      </c>
      <c r="H21" s="10" t="str">
        <f ca="1">RTD("tt.rtd",,$B21,H$2)</f>
        <v>"services.rtd.subscriptionError"</v>
      </c>
      <c r="I21" s="10" t="str">
        <f ca="1">RTD("tt.rtd",,$B21,I$2)</f>
        <v>"services.rtd.subscriptionError"</v>
      </c>
      <c r="J21" s="10" t="str">
        <f ca="1">RTD("tt.rtd",,$B21,J$2)</f>
        <v>"services.rtd.subscriptionError"</v>
      </c>
      <c r="K21" s="5" t="str">
        <f t="shared" ca="1" si="0"/>
        <v>"services.rtd.subscriptionError"</v>
      </c>
      <c r="L21" s="5" t="str">
        <f t="shared" ca="1" si="1"/>
        <v>"services.rtd.subscriptionError"</v>
      </c>
    </row>
    <row r="22" spans="1:12" x14ac:dyDescent="0.25">
      <c r="A22" s="11" t="str">
        <f ca="1">$A$2&amp;" FM"&amp;LEFT('cont list_bg'!G25,1)&amp;"00"&amp;RIGHT('cont list_bg'!G25,2)&amp;"!"</f>
        <v>ER3 FMZ0030!</v>
      </c>
      <c r="B22" s="9" t="str">
        <f ca="1">RTD("tt.rtd",,"Inst",$B$1,$A22)</f>
        <v>3959173724590121969</v>
      </c>
      <c r="C22" s="10" t="str">
        <f ca="1">MID(RTD("tt.rtd",,$B22,C$2),7,1)&amp;MID(RTD("tt.rtd",,$B22,C$2),11,1)</f>
        <v>Z0</v>
      </c>
      <c r="D22" s="10" t="str">
        <f ca="1">RTD("tt.rtd",,$B22,D$2)</f>
        <v>"services.rtd.subscriptionError"</v>
      </c>
      <c r="E22" s="10" t="str">
        <f ca="1">RTD("tt.rtd",,$B22,E$2)</f>
        <v>"services.rtd.subscriptionError"</v>
      </c>
      <c r="F22" s="10" t="str">
        <f ca="1">RTD("tt.rtd",,$B22,F$2)</f>
        <v>"services.rtd.subscriptionError"</v>
      </c>
      <c r="G22" s="10" t="str">
        <f ca="1">RTD("tt.rtd",,$B22,G$2)</f>
        <v>"services.rtd.subscriptionError"</v>
      </c>
      <c r="H22" s="10" t="str">
        <f ca="1">RTD("tt.rtd",,$B22,H$2)</f>
        <v>"services.rtd.subscriptionError"</v>
      </c>
      <c r="I22" s="10" t="str">
        <f ca="1">RTD("tt.rtd",,$B22,I$2)</f>
        <v>"services.rtd.subscriptionError"</v>
      </c>
      <c r="J22" s="10" t="str">
        <f ca="1">RTD("tt.rtd",,$B22,J$2)</f>
        <v>"services.rtd.subscriptionError"</v>
      </c>
      <c r="K22" s="5" t="str">
        <f t="shared" ca="1" si="0"/>
        <v>"services.rtd.subscriptionError"</v>
      </c>
      <c r="L22" s="5" t="str">
        <f t="shared" ca="1" si="1"/>
        <v>"services.rtd.subscriptionError"</v>
      </c>
    </row>
    <row r="23" spans="1:12" x14ac:dyDescent="0.25">
      <c r="A23" s="11"/>
      <c r="B23" s="9"/>
      <c r="C23" s="10"/>
      <c r="D23" s="10"/>
      <c r="E23" s="10"/>
      <c r="F23" s="10"/>
      <c r="G23" s="10"/>
      <c r="H23" s="10"/>
      <c r="I23" s="10"/>
      <c r="J23" s="10"/>
      <c r="K23" s="5"/>
      <c r="L23" s="5"/>
    </row>
    <row r="24" spans="1:12" x14ac:dyDescent="0.25">
      <c r="A24" s="11"/>
      <c r="B24" s="9"/>
      <c r="C24" s="10"/>
      <c r="D24" s="10"/>
      <c r="E24" s="10"/>
      <c r="F24" s="10"/>
      <c r="G24" s="10"/>
      <c r="H24" s="10"/>
      <c r="I24" s="10"/>
      <c r="J24" s="10"/>
      <c r="K24" s="5"/>
      <c r="L24" s="5"/>
    </row>
    <row r="25" spans="1:12" x14ac:dyDescent="0.25">
      <c r="A25" s="11"/>
      <c r="B25" s="9"/>
      <c r="C25" s="10"/>
      <c r="D25" s="10"/>
      <c r="E25" s="10"/>
      <c r="F25" s="10"/>
      <c r="G25" s="10"/>
      <c r="H25" s="10"/>
      <c r="I25" s="10"/>
      <c r="J25" s="10"/>
      <c r="K25" s="5"/>
      <c r="L25" s="5"/>
    </row>
    <row r="26" spans="1:12" x14ac:dyDescent="0.25">
      <c r="A26" s="11"/>
      <c r="B26" s="9"/>
      <c r="C26" s="10"/>
      <c r="D26" s="10"/>
      <c r="E26" s="10"/>
      <c r="F26" s="10"/>
      <c r="G26" s="10"/>
      <c r="H26" s="10"/>
      <c r="I26" s="10"/>
      <c r="J26" s="10"/>
      <c r="K26" s="5"/>
      <c r="L26" s="5"/>
    </row>
    <row r="27" spans="1:12" x14ac:dyDescent="0.25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5"/>
      <c r="L27" s="5"/>
    </row>
    <row r="28" spans="1:12" x14ac:dyDescent="0.25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5"/>
      <c r="L28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8B5D-599C-4D80-90C2-FC3AB87836FD}">
  <dimension ref="A1:T12"/>
  <sheetViews>
    <sheetView workbookViewId="0">
      <selection activeCell="A7" sqref="A7"/>
    </sheetView>
  </sheetViews>
  <sheetFormatPr defaultRowHeight="15" x14ac:dyDescent="0.25"/>
  <sheetData>
    <row r="1" spans="1:20" x14ac:dyDescent="0.25">
      <c r="A1" s="28" t="s">
        <v>4</v>
      </c>
      <c r="B1" s="23" t="s">
        <v>92</v>
      </c>
      <c r="C1" s="22" t="s">
        <v>96</v>
      </c>
      <c r="D1" s="22"/>
      <c r="E1" s="22"/>
      <c r="F1" s="22"/>
      <c r="G1" s="22"/>
      <c r="H1" s="22"/>
      <c r="I1" s="22"/>
      <c r="J1" s="22"/>
      <c r="K1" s="22"/>
      <c r="L1" s="22"/>
    </row>
    <row r="2" spans="1:20" x14ac:dyDescent="0.25">
      <c r="A2" s="25" t="s">
        <v>4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20" x14ac:dyDescent="0.25">
      <c r="A3" s="11" t="str">
        <f>$A$2&amp;" FM"&amp;LEFT('cont list_bg'!W25,1)&amp;"00"&amp;RIGHT('cont list_bg'!W25,2)&amp;"!"</f>
        <v>EMP FMM0026!</v>
      </c>
      <c r="B3" s="9" t="str">
        <f>RTD("tt.rtd",,"Inst",$B$1,$A3)</f>
        <v>4569106808994826877</v>
      </c>
      <c r="C3" s="10" t="str">
        <f>MID(RTD("tt.rtd",,$B3,C$2),7,1)&amp;MID(RTD("tt.rtd",,$B3,C$2),11,1)</f>
        <v>M6</v>
      </c>
      <c r="D3" s="10" t="str">
        <f>RTD("tt.rtd",,$B3,D$2)</f>
        <v>"services.rtd.subscriptionError"</v>
      </c>
      <c r="E3" s="10" t="str">
        <f>RTD("tt.rtd",,$B3,E$2)</f>
        <v>"services.rtd.subscriptionError"</v>
      </c>
      <c r="F3" s="10" t="str">
        <f>RTD("tt.rtd",,$B3,F$2)</f>
        <v>"services.rtd.subscriptionError"</v>
      </c>
      <c r="G3" s="10" t="str">
        <f>RTD("tt.rtd",,$B3,G$2)</f>
        <v>"services.rtd.subscriptionError"</v>
      </c>
      <c r="H3" s="10" t="str">
        <f>RTD("tt.rtd",,$B3,H$2)</f>
        <v>"services.rtd.subscriptionError"</v>
      </c>
      <c r="I3" s="10" t="str">
        <f>RTD("tt.rtd",,$B3,I$2)</f>
        <v>"services.rtd.subscriptionError"</v>
      </c>
      <c r="J3" s="10" t="str">
        <f>RTD("tt.rtd",,$B3,J$2)</f>
        <v>"services.rtd.subscriptionError"</v>
      </c>
      <c r="K3" s="5" t="str">
        <f>IFERROR(IF(I3="Open",(E3+D3)/2,H3),H3)</f>
        <v>"services.rtd.subscriptionError"</v>
      </c>
      <c r="L3" s="5" t="str">
        <f>IF(AND(I3="Open",G3&gt;0),F3,K3)</f>
        <v>"services.rtd.subscriptionError"</v>
      </c>
    </row>
    <row r="4" spans="1:20" x14ac:dyDescent="0.25">
      <c r="A4" s="11" t="str">
        <f>$A$2&amp;" FM"&amp;LEFT('cont list_bg'!W26,1)&amp;"00"&amp;RIGHT('cont list_bg'!W26,2)&amp;"!"</f>
        <v>EMP FMN0026!</v>
      </c>
      <c r="B4" s="9" t="str">
        <f>RTD("tt.rtd",,"Inst",$B$1,$A4)</f>
        <v>17097660282758551869</v>
      </c>
      <c r="C4" s="10" t="str">
        <f>MID(RTD("tt.rtd",,$B4,C$2),7,1)&amp;MID(RTD("tt.rtd",,$B4,C$2),11,1)</f>
        <v>N6</v>
      </c>
      <c r="D4" s="10" t="str">
        <f>RTD("tt.rtd",,$B4,D$2)</f>
        <v>"services.rtd.subscriptionError"</v>
      </c>
      <c r="E4" s="10" t="str">
        <f>RTD("tt.rtd",,$B4,E$2)</f>
        <v>"services.rtd.subscriptionError"</v>
      </c>
      <c r="F4" s="10" t="str">
        <f>RTD("tt.rtd",,$B4,F$2)</f>
        <v>"services.rtd.subscriptionError"</v>
      </c>
      <c r="G4" s="10" t="str">
        <f>RTD("tt.rtd",,$B4,G$2)</f>
        <v>"services.rtd.subscriptionError"</v>
      </c>
      <c r="H4" s="10" t="str">
        <f>RTD("tt.rtd",,$B4,H$2)</f>
        <v>"services.rtd.subscriptionError"</v>
      </c>
      <c r="I4" s="10" t="str">
        <f>RTD("tt.rtd",,$B4,I$2)</f>
        <v>"services.rtd.subscriptionError"</v>
      </c>
      <c r="J4" s="10" t="str">
        <f>RTD("tt.rtd",,$B4,J$2)</f>
        <v>"services.rtd.subscriptionError"</v>
      </c>
      <c r="K4" s="5" t="str">
        <f t="shared" ref="K4:K11" si="0">IFERROR(IF(I4="Open",(E4+D4)/2,H4),H4)</f>
        <v>"services.rtd.subscriptionError"</v>
      </c>
      <c r="L4" s="5" t="str">
        <f t="shared" ref="L4:L11" si="1">IF(AND(I4="Open",G4&gt;0),F4,K4)</f>
        <v>"services.rtd.subscriptionError"</v>
      </c>
    </row>
    <row r="5" spans="1:20" x14ac:dyDescent="0.25">
      <c r="A5" s="11" t="str">
        <f>$A$2&amp;" FM"&amp;LEFT('cont list_bg'!W27,1)&amp;"00"&amp;RIGHT('cont list_bg'!W27,2)&amp;"!"</f>
        <v>EMP FMU0026!</v>
      </c>
      <c r="B5" s="9" t="str">
        <f>RTD("tt.rtd",,"Inst",$B$1,$A5)</f>
        <v>17269494829094841978</v>
      </c>
      <c r="C5" s="10" t="str">
        <f>MID(RTD("tt.rtd",,$B5,C$2),7,1)&amp;MID(RTD("tt.rtd",,$B5,C$2),11,1)</f>
        <v>U6</v>
      </c>
      <c r="D5" s="10" t="str">
        <f>RTD("tt.rtd",,$B5,D$2)</f>
        <v>"services.rtd.subscriptionError"</v>
      </c>
      <c r="E5" s="10" t="str">
        <f>RTD("tt.rtd",,$B5,E$2)</f>
        <v>"services.rtd.subscriptionError"</v>
      </c>
      <c r="F5" s="10" t="str">
        <f>RTD("tt.rtd",,$B5,F$2)</f>
        <v>"services.rtd.subscriptionError"</v>
      </c>
      <c r="G5" s="10" t="str">
        <f>RTD("tt.rtd",,$B5,G$2)</f>
        <v>"services.rtd.subscriptionError"</v>
      </c>
      <c r="H5" s="10" t="str">
        <f>RTD("tt.rtd",,$B5,H$2)</f>
        <v>"services.rtd.subscriptionError"</v>
      </c>
      <c r="I5" s="10" t="str">
        <f>RTD("tt.rtd",,$B5,I$2)</f>
        <v>"services.rtd.subscriptionError"</v>
      </c>
      <c r="J5" s="10" t="str">
        <f>RTD("tt.rtd",,$B5,J$2)</f>
        <v>"services.rtd.subscriptionError"</v>
      </c>
      <c r="K5" s="5" t="str">
        <f t="shared" si="0"/>
        <v>"services.rtd.subscriptionError"</v>
      </c>
      <c r="L5" s="5" t="str">
        <f t="shared" si="1"/>
        <v>"services.rtd.subscriptionError"</v>
      </c>
    </row>
    <row r="6" spans="1:20" x14ac:dyDescent="0.25">
      <c r="A6" s="11" t="str">
        <f>$A$2&amp;" FM"&amp;LEFT('cont list_bg'!W28,1)&amp;"00"&amp;RIGHT('cont list_bg'!W28,2)&amp;"!"</f>
        <v>EMP FMV0026!</v>
      </c>
      <c r="B6" s="9" t="str">
        <f>RTD("tt.rtd",,"Inst",$B$1,$A6)</f>
        <v>"services.rtd.failedToFindInstrument"</v>
      </c>
      <c r="C6" s="10" t="str">
        <f>MID(RTD("tt.rtd",,$B6,C$2),7,1)&amp;MID(RTD("tt.rtd",,$B6,C$2),11,1)</f>
        <v>cr</v>
      </c>
      <c r="D6" s="10" t="str">
        <f>RTD("tt.rtd",,$B6,D$2)</f>
        <v>"services.rtd.invalidInstrumentFormat"</v>
      </c>
      <c r="E6" s="10" t="str">
        <f>RTD("tt.rtd",,$B6,E$2)</f>
        <v>"services.rtd.invalidInstrumentFormat"</v>
      </c>
      <c r="F6" s="10" t="str">
        <f>RTD("tt.rtd",,$B6,F$2)</f>
        <v>"services.rtd.invalidInstrumentFormat"</v>
      </c>
      <c r="G6" s="10" t="str">
        <f>RTD("tt.rtd",,$B6,G$2)</f>
        <v>"services.rtd.invalidInstrumentFormat"</v>
      </c>
      <c r="H6" s="10" t="str">
        <f>RTD("tt.rtd",,$B6,H$2)</f>
        <v>"services.rtd.invalidInstrumentFormat"</v>
      </c>
      <c r="I6" s="10" t="str">
        <f>RTD("tt.rtd",,$B6,I$2)</f>
        <v>"services.rtd.invalidInstrumentFormat"</v>
      </c>
      <c r="J6" s="10" t="str">
        <f>RTD("tt.rtd",,$B6,J$2)</f>
        <v>"services.rtd.invalidInstrumentFormat"</v>
      </c>
      <c r="K6" s="5" t="str">
        <f t="shared" si="0"/>
        <v>"services.rtd.invalidInstrumentFormat"</v>
      </c>
      <c r="L6" s="5" t="str">
        <f t="shared" si="1"/>
        <v>"services.rtd.invalidInstrumentFormat"</v>
      </c>
    </row>
    <row r="7" spans="1:20" x14ac:dyDescent="0.25">
      <c r="A7" s="11" t="str">
        <f>$A$2&amp;" FM"&amp;LEFT('cont list_bg'!W29,1)&amp;"00"&amp;RIGHT('cont list_bg'!W29,2)&amp;"!"</f>
        <v>EMP FMZ0026!</v>
      </c>
      <c r="B7" s="9" t="str">
        <f>RTD("tt.rtd",,"Inst",$B$1,$A7)</f>
        <v>"services.rtd.failedToFindInstrument"</v>
      </c>
      <c r="C7" s="10" t="str">
        <f>MID(RTD("tt.rtd",,$B7,C$2),7,1)&amp;MID(RTD("tt.rtd",,$B7,C$2),11,1)</f>
        <v>cr</v>
      </c>
      <c r="D7" s="10" t="str">
        <f>RTD("tt.rtd",,$B7,D$2)</f>
        <v>"services.rtd.invalidInstrumentFormat"</v>
      </c>
      <c r="E7" s="10" t="str">
        <f>RTD("tt.rtd",,$B7,E$2)</f>
        <v>"services.rtd.invalidInstrumentFormat"</v>
      </c>
      <c r="F7" s="10" t="str">
        <f>RTD("tt.rtd",,$B7,F$2)</f>
        <v>"services.rtd.invalidInstrumentFormat"</v>
      </c>
      <c r="G7" s="10" t="str">
        <f>RTD("tt.rtd",,$B7,G$2)</f>
        <v>"services.rtd.invalidInstrumentFormat"</v>
      </c>
      <c r="H7" s="10" t="str">
        <f>RTD("tt.rtd",,$B7,H$2)</f>
        <v>"services.rtd.invalidInstrumentFormat"</v>
      </c>
      <c r="I7" s="10" t="str">
        <f>RTD("tt.rtd",,$B7,I$2)</f>
        <v>"services.rtd.invalidInstrumentFormat"</v>
      </c>
      <c r="J7" s="10" t="str">
        <f>RTD("tt.rtd",,$B7,J$2)</f>
        <v>"services.rtd.invalidInstrumentFormat"</v>
      </c>
      <c r="K7" s="5" t="str">
        <f t="shared" si="0"/>
        <v>"services.rtd.invalidInstrumentFormat"</v>
      </c>
      <c r="L7" s="5" t="str">
        <f t="shared" si="1"/>
        <v>"services.rtd.invalidInstrumentFormat"</v>
      </c>
    </row>
    <row r="8" spans="1:20" x14ac:dyDescent="0.25">
      <c r="A8" s="11" t="str">
        <f>$A$2&amp;" FM"&amp;LEFT('cont list_bg'!W30,1)&amp;"00"&amp;RIGHT('cont list_bg'!W30,2)&amp;"!"</f>
        <v>EMP FMG0027!</v>
      </c>
      <c r="B8" s="9" t="str">
        <f>RTD("tt.rtd",,"Inst",$B$1,$A8)</f>
        <v>"services.rtd.failedToFindInstrument"</v>
      </c>
      <c r="C8" s="10" t="str">
        <f>MID(RTD("tt.rtd",,$B8,C$2),7,1)&amp;MID(RTD("tt.rtd",,$B8,C$2),11,1)</f>
        <v>cr</v>
      </c>
      <c r="D8" s="10" t="str">
        <f>RTD("tt.rtd",,$B8,D$2)</f>
        <v>"services.rtd.invalidInstrumentFormat"</v>
      </c>
      <c r="E8" s="10" t="str">
        <f>RTD("tt.rtd",,$B8,E$2)</f>
        <v>"services.rtd.invalidInstrumentFormat"</v>
      </c>
      <c r="F8" s="10" t="str">
        <f>RTD("tt.rtd",,$B8,F$2)</f>
        <v>"services.rtd.invalidInstrumentFormat"</v>
      </c>
      <c r="G8" s="10" t="str">
        <f>RTD("tt.rtd",,$B8,G$2)</f>
        <v>"services.rtd.invalidInstrumentFormat"</v>
      </c>
      <c r="H8" s="10" t="str">
        <f>RTD("tt.rtd",,$B8,H$2)</f>
        <v>"services.rtd.invalidInstrumentFormat"</v>
      </c>
      <c r="I8" s="10" t="str">
        <f>RTD("tt.rtd",,$B8,I$2)</f>
        <v>"services.rtd.invalidInstrumentFormat"</v>
      </c>
      <c r="J8" s="10" t="str">
        <f>RTD("tt.rtd",,$B8,J$2)</f>
        <v>"services.rtd.invalidInstrumentFormat"</v>
      </c>
      <c r="K8" s="5" t="str">
        <f t="shared" si="0"/>
        <v>"services.rtd.invalidInstrumentFormat"</v>
      </c>
      <c r="L8" s="5" t="str">
        <f t="shared" si="1"/>
        <v>"services.rtd.invalidInstrumentFormat"</v>
      </c>
    </row>
    <row r="9" spans="1:20" x14ac:dyDescent="0.25">
      <c r="A9" s="11" t="str">
        <f>$A$2&amp;" FM"&amp;LEFT('cont list_bg'!W31,1)&amp;"00"&amp;RIGHT('cont list_bg'!W31,2)&amp;"!"</f>
        <v>EMP FMH0027!</v>
      </c>
      <c r="B9" s="9" t="str">
        <f>RTD("tt.rtd",,"Inst",$B$1,$A9)</f>
        <v>"services.rtd.failedToFindInstrument"</v>
      </c>
      <c r="C9" s="10" t="str">
        <f>MID(RTD("tt.rtd",,$B9,C$2),7,1)&amp;MID(RTD("tt.rtd",,$B9,C$2),11,1)</f>
        <v>cr</v>
      </c>
      <c r="D9" s="10" t="str">
        <f>RTD("tt.rtd",,$B9,D$2)</f>
        <v>"services.rtd.invalidInstrumentFormat"</v>
      </c>
      <c r="E9" s="10" t="str">
        <f>RTD("tt.rtd",,$B9,E$2)</f>
        <v>"services.rtd.invalidInstrumentFormat"</v>
      </c>
      <c r="F9" s="10" t="str">
        <f>RTD("tt.rtd",,$B9,F$2)</f>
        <v>"services.rtd.invalidInstrumentFormat"</v>
      </c>
      <c r="G9" s="10" t="str">
        <f>RTD("tt.rtd",,$B9,G$2)</f>
        <v>"services.rtd.invalidInstrumentFormat"</v>
      </c>
      <c r="H9" s="10" t="str">
        <f>RTD("tt.rtd",,$B9,H$2)</f>
        <v>"services.rtd.invalidInstrumentFormat"</v>
      </c>
      <c r="I9" s="10" t="str">
        <f>RTD("tt.rtd",,$B9,I$2)</f>
        <v>"services.rtd.invalidInstrumentFormat"</v>
      </c>
      <c r="J9" s="10" t="str">
        <f>RTD("tt.rtd",,$B9,J$2)</f>
        <v>"services.rtd.invalidInstrumentFormat"</v>
      </c>
      <c r="K9" s="5" t="str">
        <f t="shared" si="0"/>
        <v>"services.rtd.invalidInstrumentFormat"</v>
      </c>
      <c r="L9" s="5" t="str">
        <f t="shared" si="1"/>
        <v>"services.rtd.invalidInstrumentFormat"</v>
      </c>
    </row>
    <row r="10" spans="1:20" x14ac:dyDescent="0.25">
      <c r="A10" s="11" t="str">
        <f>$A$2&amp;" FM"&amp;LEFT('cont list_bg'!W32,1)&amp;"00"&amp;RIGHT('cont list_bg'!W32,2)&amp;"!"</f>
        <v>EMP FMJ0027!</v>
      </c>
      <c r="B10" s="9" t="str">
        <f>RTD("tt.rtd",,"Inst",$B$1,$A10)</f>
        <v>"services.rtd.failedToFindInstrument"</v>
      </c>
      <c r="C10" s="10" t="str">
        <f>MID(RTD("tt.rtd",,$B10,C$2),7,1)&amp;MID(RTD("tt.rtd",,$B10,C$2),11,1)</f>
        <v>cr</v>
      </c>
      <c r="D10" s="10" t="str">
        <f>RTD("tt.rtd",,$B10,D$2)</f>
        <v>"services.rtd.invalidInstrumentFormat"</v>
      </c>
      <c r="E10" s="10" t="str">
        <f>RTD("tt.rtd",,$B10,E$2)</f>
        <v>"services.rtd.invalidInstrumentFormat"</v>
      </c>
      <c r="F10" s="10" t="str">
        <f>RTD("tt.rtd",,$B10,F$2)</f>
        <v>"services.rtd.invalidInstrumentFormat"</v>
      </c>
      <c r="G10" s="10" t="str">
        <f>RTD("tt.rtd",,$B10,G$2)</f>
        <v>"services.rtd.invalidInstrumentFormat"</v>
      </c>
      <c r="H10" s="10" t="str">
        <f>RTD("tt.rtd",,$B10,H$2)</f>
        <v>"services.rtd.invalidInstrumentFormat"</v>
      </c>
      <c r="I10" s="10" t="str">
        <f>RTD("tt.rtd",,$B10,I$2)</f>
        <v>"services.rtd.invalidInstrumentFormat"</v>
      </c>
      <c r="J10" s="10" t="str">
        <f>RTD("tt.rtd",,$B10,J$2)</f>
        <v>"services.rtd.invalidInstrumentFormat"</v>
      </c>
      <c r="K10" s="5" t="str">
        <f t="shared" si="0"/>
        <v>"services.rtd.invalidInstrumentFormat"</v>
      </c>
      <c r="L10" s="5" t="str">
        <f t="shared" si="1"/>
        <v>"services.rtd.invalidInstrumentFormat"</v>
      </c>
    </row>
    <row r="11" spans="1:20" x14ac:dyDescent="0.25">
      <c r="A11" s="11" t="str">
        <f>$A$2&amp;" FM"&amp;LEFT('cont list_bg'!W33,1)&amp;"00"&amp;RIGHT('cont list_bg'!W33,2)&amp;"!"</f>
        <v>EMP FMM0027!</v>
      </c>
      <c r="B11" s="9" t="str">
        <f>RTD("tt.rtd",,"Inst",$B$1,$A11)</f>
        <v>"services.rtd.failedToFindInstrument"</v>
      </c>
      <c r="C11" s="10" t="str">
        <f>MID(RTD("tt.rtd",,$B11,C$2),7,1)&amp;MID(RTD("tt.rtd",,$B11,C$2),11,1)</f>
        <v>cr</v>
      </c>
      <c r="D11" s="10" t="str">
        <f>RTD("tt.rtd",,$B11,D$2)</f>
        <v>"services.rtd.invalidInstrumentFormat"</v>
      </c>
      <c r="E11" s="10" t="str">
        <f>RTD("tt.rtd",,$B11,E$2)</f>
        <v>"services.rtd.invalidInstrumentFormat"</v>
      </c>
      <c r="F11" s="10" t="str">
        <f>RTD("tt.rtd",,$B11,F$2)</f>
        <v>"services.rtd.invalidInstrumentFormat"</v>
      </c>
      <c r="G11" s="10" t="str">
        <f>RTD("tt.rtd",,$B11,G$2)</f>
        <v>"services.rtd.invalidInstrumentFormat"</v>
      </c>
      <c r="H11" s="10" t="str">
        <f>RTD("tt.rtd",,$B11,H$2)</f>
        <v>"services.rtd.invalidInstrumentFormat"</v>
      </c>
      <c r="I11" s="10" t="str">
        <f>RTD("tt.rtd",,$B11,I$2)</f>
        <v>"services.rtd.invalidInstrumentFormat"</v>
      </c>
      <c r="J11" s="10" t="str">
        <f>RTD("tt.rtd",,$B11,J$2)</f>
        <v>"services.rtd.invalidInstrumentFormat"</v>
      </c>
      <c r="K11" s="5" t="str">
        <f t="shared" si="0"/>
        <v>"services.rtd.invalidInstrumentFormat"</v>
      </c>
      <c r="L11" s="5" t="str">
        <f t="shared" si="1"/>
        <v>"services.rtd.invalidInstrumentFormat"</v>
      </c>
    </row>
    <row r="12" spans="1:20" x14ac:dyDescent="0.25">
      <c r="A12" s="11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5"/>
      <c r="T1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3C2D-68CD-44D3-B3E3-FE1C0E959FB5}">
  <dimension ref="A1:AF14"/>
  <sheetViews>
    <sheetView workbookViewId="0">
      <selection activeCell="K14" sqref="K14"/>
    </sheetView>
  </sheetViews>
  <sheetFormatPr defaultRowHeight="15" x14ac:dyDescent="0.25"/>
  <sheetData>
    <row r="1" spans="1:32" x14ac:dyDescent="0.25">
      <c r="A1" s="28" t="s">
        <v>3</v>
      </c>
      <c r="B1" s="23" t="s">
        <v>92</v>
      </c>
      <c r="C1" s="22" t="s">
        <v>97</v>
      </c>
      <c r="D1" s="22"/>
      <c r="E1" s="22"/>
      <c r="F1" s="22"/>
      <c r="G1" s="22"/>
      <c r="H1" s="22"/>
      <c r="I1" s="22"/>
      <c r="J1" s="22"/>
      <c r="K1" s="22"/>
      <c r="L1" s="22"/>
      <c r="Y1" s="5"/>
      <c r="Z1" s="5"/>
      <c r="AA1" s="5"/>
      <c r="AB1" s="5"/>
      <c r="AC1" s="5"/>
      <c r="AD1" s="5"/>
      <c r="AE1" s="5"/>
      <c r="AF1" s="5"/>
    </row>
    <row r="2" spans="1:32" x14ac:dyDescent="0.25">
      <c r="A2" s="25" t="s">
        <v>3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  <c r="Y2" s="5"/>
      <c r="Z2" s="5"/>
      <c r="AA2" s="5"/>
      <c r="AB2" s="5"/>
      <c r="AC2" s="5"/>
      <c r="AD2" s="5"/>
      <c r="AE2" s="5"/>
      <c r="AF2" s="5"/>
    </row>
    <row r="3" spans="1:32" x14ac:dyDescent="0.25">
      <c r="A3" s="11" t="str">
        <f>$A$2&amp;" FM"&amp;LEFT('cont list_bg'!V25,1)&amp;"00"&amp;RIGHT('cont list_bg'!V25,2)&amp;"!"</f>
        <v>MPC FMM0026!</v>
      </c>
      <c r="B3" s="9" t="str">
        <f>RTD("tt.rtd",,"Inst",$B$1,$A3)</f>
        <v>1588166901584120091</v>
      </c>
      <c r="C3" s="10" t="str">
        <f>MID(RTD("tt.rtd",,$B3,C$2),7,1)&amp;MID(RTD("tt.rtd",,$B3,C$2),11,1)</f>
        <v>M6</v>
      </c>
      <c r="D3" s="10" t="str">
        <f>RTD("tt.rtd",,$B3,D$2)</f>
        <v>"services.rtd.subscriptionError"</v>
      </c>
      <c r="E3" s="10" t="str">
        <f>RTD("tt.rtd",,$B3,E$2)</f>
        <v>"services.rtd.subscriptionError"</v>
      </c>
      <c r="F3" s="10" t="str">
        <f>RTD("tt.rtd",,$B3,F$2)</f>
        <v>"services.rtd.subscriptionError"</v>
      </c>
      <c r="G3" s="10" t="str">
        <f>RTD("tt.rtd",,$B3,G$2)</f>
        <v>"services.rtd.subscriptionError"</v>
      </c>
      <c r="H3" s="10" t="str">
        <f>RTD("tt.rtd",,$B3,H$2)</f>
        <v>"services.rtd.subscriptionError"</v>
      </c>
      <c r="I3" s="10" t="str">
        <f>RTD("tt.rtd",,$B3,I$2)</f>
        <v>"services.rtd.subscriptionError"</v>
      </c>
      <c r="J3" s="10" t="str">
        <f>RTD("tt.rtd",,$B3,J$2)</f>
        <v>"services.rtd.subscriptionError"</v>
      </c>
      <c r="K3" s="5" t="str">
        <f>IFERROR(IF(I3="Open",(E3+D3)/2,H3),H3)</f>
        <v>"services.rtd.subscriptionError"</v>
      </c>
      <c r="L3" s="5" t="str">
        <f>IF(AND(I3="Open",G3&gt;0),F3,K3)</f>
        <v>"services.rtd.subscriptionError"</v>
      </c>
      <c r="Y3" s="5"/>
      <c r="Z3" s="5"/>
      <c r="AA3" s="5"/>
      <c r="AB3" s="5"/>
      <c r="AC3" s="5"/>
      <c r="AD3" s="5"/>
      <c r="AE3" s="5"/>
      <c r="AF3" s="5"/>
    </row>
    <row r="4" spans="1:32" x14ac:dyDescent="0.25">
      <c r="A4" s="11" t="str">
        <f>$A$2&amp;" FM"&amp;LEFT('cont list_bg'!V26,1)&amp;"00"&amp;RIGHT('cont list_bg'!V26,2)&amp;"!"</f>
        <v>MPC FMN0026!</v>
      </c>
      <c r="B4" s="9" t="str">
        <f>RTD("tt.rtd",,"Inst",$B$1,$A4)</f>
        <v>16790086843721301972</v>
      </c>
      <c r="C4" s="10" t="str">
        <f>MID(RTD("tt.rtd",,$B4,C$2),7,1)&amp;MID(RTD("tt.rtd",,$B4,C$2),11,1)</f>
        <v>N6</v>
      </c>
      <c r="D4" s="10" t="str">
        <f>RTD("tt.rtd",,$B4,D$2)</f>
        <v>"services.rtd.subscriptionError"</v>
      </c>
      <c r="E4" s="10" t="str">
        <f>RTD("tt.rtd",,$B4,E$2)</f>
        <v>"services.rtd.subscriptionError"</v>
      </c>
      <c r="F4" s="10" t="str">
        <f>RTD("tt.rtd",,$B4,F$2)</f>
        <v>"services.rtd.subscriptionError"</v>
      </c>
      <c r="G4" s="10" t="str">
        <f>RTD("tt.rtd",,$B4,G$2)</f>
        <v>"services.rtd.subscriptionError"</v>
      </c>
      <c r="H4" s="10" t="str">
        <f>RTD("tt.rtd",,$B4,H$2)</f>
        <v>"services.rtd.subscriptionError"</v>
      </c>
      <c r="I4" s="10" t="str">
        <f>RTD("tt.rtd",,$B4,I$2)</f>
        <v>"services.rtd.subscriptionError"</v>
      </c>
      <c r="J4" s="10" t="str">
        <f>RTD("tt.rtd",,$B4,J$2)</f>
        <v>"services.rtd.subscriptionError"</v>
      </c>
      <c r="K4" s="5" t="str">
        <f t="shared" ref="K4:K11" si="0">IFERROR(IF(I4="Open",(E4+D4)/2,H4),H4)</f>
        <v>"services.rtd.subscriptionError"</v>
      </c>
      <c r="L4" s="5" t="str">
        <f>IF(AND(I4="Open",G4&gt;0),F4,K4)</f>
        <v>"services.rtd.subscriptionError"</v>
      </c>
      <c r="Y4" s="5"/>
      <c r="Z4" s="5"/>
      <c r="AA4" s="5"/>
      <c r="AB4" s="5"/>
      <c r="AC4" s="5"/>
      <c r="AD4" s="5"/>
      <c r="AE4" s="5"/>
      <c r="AF4" s="5"/>
    </row>
    <row r="5" spans="1:32" x14ac:dyDescent="0.25">
      <c r="A5" s="11" t="str">
        <f>$A$2&amp;" FM"&amp;LEFT('cont list_bg'!V27,1)&amp;"00"&amp;RIGHT('cont list_bg'!V27,2)&amp;"!"</f>
        <v>MPC FMU0026!</v>
      </c>
      <c r="B5" s="9" t="str">
        <f>RTD("tt.rtd",,"Inst",$B$1,$A5)</f>
        <v>8609805027889680361</v>
      </c>
      <c r="C5" s="10" t="str">
        <f>MID(RTD("tt.rtd",,$B5,C$2),7,1)&amp;MID(RTD("tt.rtd",,$B5,C$2),11,1)</f>
        <v>U6</v>
      </c>
      <c r="D5" s="10" t="str">
        <f>RTD("tt.rtd",,$B5,D$2)</f>
        <v>"services.rtd.subscriptionError"</v>
      </c>
      <c r="E5" s="10" t="str">
        <f>RTD("tt.rtd",,$B5,E$2)</f>
        <v>"services.rtd.subscriptionError"</v>
      </c>
      <c r="F5" s="10" t="str">
        <f>RTD("tt.rtd",,$B5,F$2)</f>
        <v>"services.rtd.subscriptionError"</v>
      </c>
      <c r="G5" s="10" t="str">
        <f>RTD("tt.rtd",,$B5,G$2)</f>
        <v>"services.rtd.subscriptionError"</v>
      </c>
      <c r="H5" s="10" t="str">
        <f>RTD("tt.rtd",,$B5,H$2)</f>
        <v>"services.rtd.subscriptionError"</v>
      </c>
      <c r="I5" s="10" t="str">
        <f>RTD("tt.rtd",,$B5,I$2)</f>
        <v>"services.rtd.subscriptionError"</v>
      </c>
      <c r="J5" s="10" t="str">
        <f>RTD("tt.rtd",,$B5,J$2)</f>
        <v>"services.rtd.subscriptionError"</v>
      </c>
      <c r="K5" s="5" t="str">
        <f t="shared" si="0"/>
        <v>"services.rtd.subscriptionError"</v>
      </c>
      <c r="L5" s="5" t="str">
        <f t="shared" ref="L5:L11" si="1">IF(AND(I5="Open",G5&gt;0),F5,K5)</f>
        <v>"services.rtd.subscriptionError"</v>
      </c>
      <c r="Y5" s="5"/>
      <c r="Z5" s="5"/>
      <c r="AA5" s="5"/>
      <c r="AB5" s="5"/>
      <c r="AC5" s="5"/>
      <c r="AD5" s="5"/>
      <c r="AE5" s="5"/>
      <c r="AF5" s="5"/>
    </row>
    <row r="6" spans="1:32" x14ac:dyDescent="0.25">
      <c r="A6" s="11" t="str">
        <f>$A$2&amp;" FM"&amp;LEFT('cont list_bg'!V28,1)&amp;"00"&amp;RIGHT('cont list_bg'!V28,2)&amp;"!"</f>
        <v>MPC FMX0026!</v>
      </c>
      <c r="B6" s="9" t="str">
        <f>RTD("tt.rtd",,"Inst",$B$1,$A6)</f>
        <v>15222838320367457643</v>
      </c>
      <c r="C6" s="10" t="str">
        <f>MID(RTD("tt.rtd",,$B6,C$2),7,1)&amp;MID(RTD("tt.rtd",,$B6,C$2),11,1)</f>
        <v>X6</v>
      </c>
      <c r="D6" s="10" t="str">
        <f>RTD("tt.rtd",,$B6,D$2)</f>
        <v>"services.rtd.subscriptionError"</v>
      </c>
      <c r="E6" s="10" t="str">
        <f>RTD("tt.rtd",,$B6,E$2)</f>
        <v>"services.rtd.subscriptionError"</v>
      </c>
      <c r="F6" s="10" t="str">
        <f>RTD("tt.rtd",,$B6,F$2)</f>
        <v>"services.rtd.subscriptionError"</v>
      </c>
      <c r="G6" s="10" t="str">
        <f>RTD("tt.rtd",,$B6,G$2)</f>
        <v>"services.rtd.subscriptionError"</v>
      </c>
      <c r="H6" s="10" t="str">
        <f>RTD("tt.rtd",,$B6,H$2)</f>
        <v>"services.rtd.subscriptionError"</v>
      </c>
      <c r="I6" s="10" t="str">
        <f>RTD("tt.rtd",,$B6,I$2)</f>
        <v>"services.rtd.subscriptionError"</v>
      </c>
      <c r="J6" s="10" t="str">
        <f>RTD("tt.rtd",,$B6,J$2)</f>
        <v>"services.rtd.subscriptionError"</v>
      </c>
      <c r="K6" s="5" t="str">
        <f t="shared" si="0"/>
        <v>"services.rtd.subscriptionError"</v>
      </c>
      <c r="L6" s="5" t="str">
        <f t="shared" si="1"/>
        <v>"services.rtd.subscriptionError"</v>
      </c>
      <c r="Y6" s="5"/>
      <c r="Z6" s="5"/>
      <c r="AA6" s="5"/>
      <c r="AB6" s="5"/>
      <c r="AC6" s="5"/>
      <c r="AD6" s="5"/>
      <c r="AE6" s="5"/>
      <c r="AF6" s="5"/>
    </row>
    <row r="7" spans="1:32" x14ac:dyDescent="0.25">
      <c r="A7" s="11" t="str">
        <f>$A$2&amp;" FM"&amp;LEFT('cont list_bg'!V29,1)&amp;"00"&amp;RIGHT('cont list_bg'!V29,2)&amp;"!"</f>
        <v>MPC FMZ0026!</v>
      </c>
      <c r="B7" s="9" t="str">
        <f>RTD("tt.rtd",,"Inst",$B$1,$A7)</f>
        <v>12651832782987310492</v>
      </c>
      <c r="C7" s="10" t="str">
        <f>MID(RTD("tt.rtd",,$B7,C$2),7,1)&amp;MID(RTD("tt.rtd",,$B7,C$2),11,1)</f>
        <v>Z6</v>
      </c>
      <c r="D7" s="10" t="str">
        <f>RTD("tt.rtd",,$B7,D$2)</f>
        <v>"services.rtd.subscriptionError"</v>
      </c>
      <c r="E7" s="10" t="str">
        <f>RTD("tt.rtd",,$B7,E$2)</f>
        <v>"services.rtd.subscriptionError"</v>
      </c>
      <c r="F7" s="10" t="str">
        <f>RTD("tt.rtd",,$B7,F$2)</f>
        <v>"services.rtd.subscriptionError"</v>
      </c>
      <c r="G7" s="10" t="str">
        <f>RTD("tt.rtd",,$B7,G$2)</f>
        <v>"services.rtd.subscriptionError"</v>
      </c>
      <c r="H7" s="10" t="str">
        <f>RTD("tt.rtd",,$B7,H$2)</f>
        <v>"services.rtd.subscriptionError"</v>
      </c>
      <c r="I7" s="10" t="str">
        <f>RTD("tt.rtd",,$B7,I$2)</f>
        <v>"services.rtd.subscriptionError"</v>
      </c>
      <c r="J7" s="10" t="str">
        <f>RTD("tt.rtd",,$B7,J$2)</f>
        <v>"services.rtd.subscriptionError"</v>
      </c>
      <c r="K7" s="5" t="str">
        <f t="shared" si="0"/>
        <v>"services.rtd.subscriptionError"</v>
      </c>
      <c r="L7" s="5" t="str">
        <f t="shared" si="1"/>
        <v>"services.rtd.subscriptionError"</v>
      </c>
      <c r="Y7" s="5"/>
      <c r="Z7" s="5"/>
      <c r="AA7" s="5"/>
      <c r="AB7" s="5"/>
      <c r="AC7" s="5"/>
      <c r="AD7" s="5"/>
      <c r="AE7" s="5"/>
      <c r="AF7" s="5"/>
    </row>
    <row r="8" spans="1:32" x14ac:dyDescent="0.25">
      <c r="A8" s="11" t="str">
        <f>$A$2&amp;" FM"&amp;LEFT('cont list_bg'!V30,1)&amp;"00"&amp;RIGHT('cont list_bg'!V30,2)&amp;"!"</f>
        <v>MPC FMG0027!</v>
      </c>
      <c r="B8" s="9" t="str">
        <f>RTD("tt.rtd",,"Inst",$B$1,$A8)</f>
        <v>"services.rtd.failedToFindInstrument"</v>
      </c>
      <c r="C8" s="10" t="str">
        <f>MID(RTD("tt.rtd",,$B8,C$2),7,1)&amp;MID(RTD("tt.rtd",,$B8,C$2),11,1)</f>
        <v>cr</v>
      </c>
      <c r="D8" s="10" t="str">
        <f>RTD("tt.rtd",,$B8,D$2)</f>
        <v>"services.rtd.invalidInstrumentFormat"</v>
      </c>
      <c r="E8" s="10" t="str">
        <f>RTD("tt.rtd",,$B8,E$2)</f>
        <v>"services.rtd.invalidInstrumentFormat"</v>
      </c>
      <c r="F8" s="10" t="str">
        <f>RTD("tt.rtd",,$B8,F$2)</f>
        <v>"services.rtd.invalidInstrumentFormat"</v>
      </c>
      <c r="G8" s="10" t="str">
        <f>RTD("tt.rtd",,$B8,G$2)</f>
        <v>"services.rtd.invalidInstrumentFormat"</v>
      </c>
      <c r="H8" s="10" t="str">
        <f>RTD("tt.rtd",,$B8,H$2)</f>
        <v>"services.rtd.invalidInstrumentFormat"</v>
      </c>
      <c r="I8" s="10" t="str">
        <f>RTD("tt.rtd",,$B8,I$2)</f>
        <v>"services.rtd.invalidInstrumentFormat"</v>
      </c>
      <c r="J8" s="10" t="str">
        <f>RTD("tt.rtd",,$B8,J$2)</f>
        <v>"services.rtd.invalidInstrumentFormat"</v>
      </c>
      <c r="K8" s="5" t="str">
        <f t="shared" si="0"/>
        <v>"services.rtd.invalidInstrumentFormat"</v>
      </c>
      <c r="L8" s="5" t="str">
        <f t="shared" si="1"/>
        <v>"services.rtd.invalidInstrumentFormat"</v>
      </c>
      <c r="Y8" s="5"/>
      <c r="Z8" s="5"/>
      <c r="AA8" s="5"/>
      <c r="AB8" s="5"/>
      <c r="AC8" s="5"/>
      <c r="AD8" s="5"/>
      <c r="AE8" s="5"/>
      <c r="AF8" s="5"/>
    </row>
    <row r="9" spans="1:32" x14ac:dyDescent="0.25">
      <c r="A9" s="11" t="str">
        <f>$A$2&amp;" FM"&amp;LEFT('cont list_bg'!V31,1)&amp;"00"&amp;RIGHT('cont list_bg'!V31,2)&amp;"!"</f>
        <v>MPC FMH0027!</v>
      </c>
      <c r="B9" s="9" t="str">
        <f>RTD("tt.rtd",,"Inst",$B$1,$A9)</f>
        <v>"services.rtd.failedToFindInstrument"</v>
      </c>
      <c r="C9" s="10" t="str">
        <f>MID(RTD("tt.rtd",,$B9,C$2),7,1)&amp;MID(RTD("tt.rtd",,$B9,C$2),11,1)</f>
        <v>cr</v>
      </c>
      <c r="D9" s="10" t="str">
        <f>RTD("tt.rtd",,$B9,D$2)</f>
        <v>"services.rtd.invalidInstrumentFormat"</v>
      </c>
      <c r="E9" s="10" t="str">
        <f>RTD("tt.rtd",,$B9,E$2)</f>
        <v>"services.rtd.invalidInstrumentFormat"</v>
      </c>
      <c r="F9" s="10" t="str">
        <f>RTD("tt.rtd",,$B9,F$2)</f>
        <v>"services.rtd.invalidInstrumentFormat"</v>
      </c>
      <c r="G9" s="10" t="str">
        <f>RTD("tt.rtd",,$B9,G$2)</f>
        <v>"services.rtd.invalidInstrumentFormat"</v>
      </c>
      <c r="H9" s="10" t="str">
        <f>RTD("tt.rtd",,$B9,H$2)</f>
        <v>"services.rtd.invalidInstrumentFormat"</v>
      </c>
      <c r="I9" s="10" t="str">
        <f>RTD("tt.rtd",,$B9,I$2)</f>
        <v>"services.rtd.invalidInstrumentFormat"</v>
      </c>
      <c r="J9" s="10" t="str">
        <f>RTD("tt.rtd",,$B9,J$2)</f>
        <v>"services.rtd.invalidInstrumentFormat"</v>
      </c>
      <c r="K9" s="5" t="str">
        <f t="shared" si="0"/>
        <v>"services.rtd.invalidInstrumentFormat"</v>
      </c>
      <c r="L9" s="5" t="str">
        <f t="shared" si="1"/>
        <v>"services.rtd.invalidInstrumentFormat"</v>
      </c>
      <c r="Y9" s="5"/>
      <c r="Z9" s="5"/>
      <c r="AA9" s="5"/>
      <c r="AB9" s="5"/>
      <c r="AC9" s="5"/>
      <c r="AD9" s="5"/>
      <c r="AE9" s="5"/>
      <c r="AF9" s="5"/>
    </row>
    <row r="10" spans="1:32" x14ac:dyDescent="0.25">
      <c r="A10" s="11" t="str">
        <f>$A$2&amp;" FM"&amp;LEFT('cont list_bg'!V32,1)&amp;"00"&amp;RIGHT('cont list_bg'!V32,2)&amp;"!"</f>
        <v>MPC FMJ0027!</v>
      </c>
      <c r="B10" s="9" t="str">
        <f>RTD("tt.rtd",,"Inst",$B$1,$A10)</f>
        <v>"services.rtd.failedToFindInstrument"</v>
      </c>
      <c r="C10" s="10" t="str">
        <f>MID(RTD("tt.rtd",,$B10,C$2),7,1)&amp;MID(RTD("tt.rtd",,$B10,C$2),11,1)</f>
        <v>cr</v>
      </c>
      <c r="D10" s="10" t="str">
        <f>RTD("tt.rtd",,$B10,D$2)</f>
        <v>"services.rtd.invalidInstrumentFormat"</v>
      </c>
      <c r="E10" s="10" t="str">
        <f>RTD("tt.rtd",,$B10,E$2)</f>
        <v>"services.rtd.invalidInstrumentFormat"</v>
      </c>
      <c r="F10" s="10" t="str">
        <f>RTD("tt.rtd",,$B10,F$2)</f>
        <v>"services.rtd.invalidInstrumentFormat"</v>
      </c>
      <c r="G10" s="10" t="str">
        <f>RTD("tt.rtd",,$B10,G$2)</f>
        <v>"services.rtd.invalidInstrumentFormat"</v>
      </c>
      <c r="H10" s="10" t="str">
        <f>RTD("tt.rtd",,$B10,H$2)</f>
        <v>"services.rtd.invalidInstrumentFormat"</v>
      </c>
      <c r="I10" s="10" t="str">
        <f>RTD("tt.rtd",,$B10,I$2)</f>
        <v>"services.rtd.invalidInstrumentFormat"</v>
      </c>
      <c r="J10" s="10" t="str">
        <f>RTD("tt.rtd",,$B10,J$2)</f>
        <v>"services.rtd.invalidInstrumentFormat"</v>
      </c>
      <c r="K10" s="5" t="str">
        <f t="shared" si="0"/>
        <v>"services.rtd.invalidInstrumentFormat"</v>
      </c>
      <c r="L10" s="5" t="str">
        <f t="shared" si="1"/>
        <v>"services.rtd.invalidInstrumentFormat"</v>
      </c>
      <c r="Y10" s="5"/>
      <c r="Z10" s="5"/>
      <c r="AA10" s="5"/>
      <c r="AB10" s="5"/>
      <c r="AC10" s="5"/>
      <c r="AD10" s="5"/>
      <c r="AE10" s="5"/>
      <c r="AF10" s="5"/>
    </row>
    <row r="11" spans="1:32" x14ac:dyDescent="0.25">
      <c r="A11" s="11" t="str">
        <f>$A$2&amp;" FM"&amp;LEFT('cont list_bg'!V33,1)&amp;"00"&amp;RIGHT('cont list_bg'!V33,2)&amp;"!"</f>
        <v>MPC FMM0027!</v>
      </c>
      <c r="B11" s="9" t="str">
        <f>RTD("tt.rtd",,"Inst",$B$1,$A11)</f>
        <v>"services.rtd.failedToFindInstrument"</v>
      </c>
      <c r="C11" s="10" t="str">
        <f>MID(RTD("tt.rtd",,$B11,C$2),7,1)&amp;MID(RTD("tt.rtd",,$B11,C$2),11,1)</f>
        <v>cr</v>
      </c>
      <c r="D11" s="10" t="str">
        <f>RTD("tt.rtd",,$B11,D$2)</f>
        <v>"services.rtd.invalidInstrumentFormat"</v>
      </c>
      <c r="E11" s="10" t="str">
        <f>RTD("tt.rtd",,$B11,E$2)</f>
        <v>"services.rtd.invalidInstrumentFormat"</v>
      </c>
      <c r="F11" s="10" t="str">
        <f>RTD("tt.rtd",,$B11,F$2)</f>
        <v>"services.rtd.invalidInstrumentFormat"</v>
      </c>
      <c r="G11" s="10" t="str">
        <f>RTD("tt.rtd",,$B11,G$2)</f>
        <v>"services.rtd.invalidInstrumentFormat"</v>
      </c>
      <c r="H11" s="10" t="str">
        <f>RTD("tt.rtd",,$B11,H$2)</f>
        <v>"services.rtd.invalidInstrumentFormat"</v>
      </c>
      <c r="I11" s="10" t="str">
        <f>RTD("tt.rtd",,$B11,I$2)</f>
        <v>"services.rtd.invalidInstrumentFormat"</v>
      </c>
      <c r="J11" s="10" t="str">
        <f>RTD("tt.rtd",,$B11,J$2)</f>
        <v>"services.rtd.invalidInstrumentFormat"</v>
      </c>
      <c r="K11" s="5" t="str">
        <f t="shared" si="0"/>
        <v>"services.rtd.invalidInstrumentFormat"</v>
      </c>
      <c r="L11" s="5" t="str">
        <f t="shared" si="1"/>
        <v>"services.rtd.invalidInstrumentFormat"</v>
      </c>
    </row>
    <row r="14" spans="1:32" x14ac:dyDescent="0.25">
      <c r="A14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6C04-8E00-42D8-9F7B-2B2F86961010}">
  <dimension ref="A1:L19"/>
  <sheetViews>
    <sheetView workbookViewId="0">
      <selection activeCell="K3" sqref="K3"/>
    </sheetView>
  </sheetViews>
  <sheetFormatPr defaultRowHeight="15" x14ac:dyDescent="0.25"/>
  <sheetData>
    <row r="1" spans="1:12" x14ac:dyDescent="0.25">
      <c r="A1" s="28" t="s">
        <v>99</v>
      </c>
      <c r="B1" s="23" t="s">
        <v>100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31" t="s">
        <v>99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A3" s="11" t="str">
        <f ca="1">'cont list_bg'!T6</f>
        <v>Jun26</v>
      </c>
      <c r="B3" s="9"/>
      <c r="C3" s="10" t="str">
        <f ca="1">A3</f>
        <v>Jun26</v>
      </c>
      <c r="D3" s="10" t="str">
        <f ca="1">RTD("tt.rtd",,"Instr",$B$1,"VX","FUTURE",$A3, D$2)</f>
        <v>20.100</v>
      </c>
      <c r="E3" s="10" t="str">
        <f ca="1">RTD("tt.rtd",,"Instr",$B$1,"VX","FUTURE",$A3, E$2)</f>
        <v>20.050</v>
      </c>
      <c r="F3" s="10" t="str">
        <f ca="1">RTD("tt.rtd",,"Instr",$B$1,"VX","FUTURE",$A3, F$2)</f>
        <v>20.100</v>
      </c>
      <c r="G3" s="10">
        <f ca="1">RTD("tt.rtd",,"Instr",$B$1,"VX","FUTURE",$A3, G$2)</f>
        <v>25</v>
      </c>
      <c r="H3" s="10" t="str">
        <f ca="1">RTD("tt.rtd",,"Instr",$B$1,"VX","FUTURE",$A3, H$2)</f>
        <v>20.4174</v>
      </c>
      <c r="I3" s="10" t="str">
        <f ca="1">RTD("tt.rtd",,"Instr",$B$1,"VX","FUTURE",$A3, I$2)</f>
        <v>Open</v>
      </c>
      <c r="J3" s="10">
        <f ca="1">RTD("tt.rtd",,"Instr",$B$1,"VX","FUTURE",$A3, J$2)</f>
        <v>25</v>
      </c>
      <c r="K3" s="5">
        <f ca="1">IFERROR(IF(I3="Open",(E3+D3)/2,H3),H3)</f>
        <v>20.075000000000003</v>
      </c>
      <c r="L3" s="5" t="str">
        <f ca="1">IF(AND(I3="Open",G3&gt;0),F3,K3)</f>
        <v>20.100</v>
      </c>
    </row>
    <row r="4" spans="1:12" x14ac:dyDescent="0.25">
      <c r="A4" s="11" t="str">
        <f ca="1">'cont list_bg'!T7</f>
        <v>Jul26</v>
      </c>
      <c r="C4" s="10" t="str">
        <f t="shared" ref="C4:C12" ca="1" si="0">A4</f>
        <v>Jul26</v>
      </c>
      <c r="D4" s="10" t="str">
        <f ca="1">RTD("tt.rtd",,"Instr",$B$1,"VX","FUTURE",$A4, D$2)</f>
        <v>21.500</v>
      </c>
      <c r="E4" s="10" t="str">
        <f ca="1">RTD("tt.rtd",,"Instr",$B$1,"VX","FUTURE",$A4, E$2)</f>
        <v>21.450</v>
      </c>
      <c r="F4" s="10" t="str">
        <f ca="1">RTD("tt.rtd",,"Instr",$B$1,"VX","FUTURE",$A4, F$2)</f>
        <v>21.450</v>
      </c>
      <c r="G4" s="10">
        <f ca="1">RTD("tt.rtd",,"Instr",$B$1,"VX","FUTURE",$A4, G$2)</f>
        <v>166</v>
      </c>
      <c r="H4" s="10" t="str">
        <f ca="1">RTD("tt.rtd",,"Instr",$B$1,"VX","FUTURE",$A4, H$2)</f>
        <v>21.7247</v>
      </c>
      <c r="I4" s="10" t="str">
        <f ca="1">RTD("tt.rtd",,"Instr",$B$1,"VX","FUTURE",$A4, I$2)</f>
        <v>Open</v>
      </c>
      <c r="J4" s="10">
        <f ca="1">RTD("tt.rtd",,"Instr",$B$1,"VX","FUTURE",$A4, J$2)</f>
        <v>166</v>
      </c>
      <c r="K4" s="5">
        <f t="shared" ref="K4:K12" ca="1" si="1">IFERROR(IF(I4="Open",(E4+D4)/2,H4),H4)</f>
        <v>21.475000000000001</v>
      </c>
      <c r="L4" s="5" t="str">
        <f t="shared" ref="L4:L12" ca="1" si="2">IF(AND(I4="Open",G4&gt;0),F4,K4)</f>
        <v>21.450</v>
      </c>
    </row>
    <row r="5" spans="1:12" x14ac:dyDescent="0.25">
      <c r="A5" s="11" t="str">
        <f ca="1">'cont list_bg'!T8</f>
        <v>Aug26</v>
      </c>
      <c r="C5" s="10" t="str">
        <f t="shared" ca="1" si="0"/>
        <v>Aug26</v>
      </c>
      <c r="D5" s="10" t="str">
        <f ca="1">RTD("tt.rtd",,"Instr",$B$1,"VX","FUTURE",$A5, D$2)</f>
        <v>22.000</v>
      </c>
      <c r="E5" s="10" t="str">
        <f ca="1">RTD("tt.rtd",,"Instr",$B$1,"VX","FUTURE",$A5, E$2)</f>
        <v>21.950</v>
      </c>
      <c r="F5" s="10" t="str">
        <f ca="1">RTD("tt.rtd",,"Instr",$B$1,"VX","FUTURE",$A5, F$2)</f>
        <v>22.000</v>
      </c>
      <c r="G5" s="10">
        <f ca="1">RTD("tt.rtd",,"Instr",$B$1,"VX","FUTURE",$A5, G$2)</f>
        <v>64</v>
      </c>
      <c r="H5" s="10" t="str">
        <f ca="1">RTD("tt.rtd",,"Instr",$B$1,"VX","FUTURE",$A5, H$2)</f>
        <v>22.1966</v>
      </c>
      <c r="I5" s="10" t="str">
        <f ca="1">RTD("tt.rtd",,"Instr",$B$1,"VX","FUTURE",$A5, I$2)</f>
        <v>Open</v>
      </c>
      <c r="J5" s="10">
        <f ca="1">RTD("tt.rtd",,"Instr",$B$1,"VX","FUTURE",$A5, J$2)</f>
        <v>64</v>
      </c>
      <c r="K5" s="5">
        <f t="shared" ca="1" si="1"/>
        <v>21.975000000000001</v>
      </c>
      <c r="L5" s="5" t="str">
        <f t="shared" ca="1" si="2"/>
        <v>22.000</v>
      </c>
    </row>
    <row r="6" spans="1:12" x14ac:dyDescent="0.25">
      <c r="A6" s="11" t="str">
        <f ca="1">'cont list_bg'!T9</f>
        <v>Sep26</v>
      </c>
      <c r="C6" s="10" t="str">
        <f t="shared" ca="1" si="0"/>
        <v>Sep26</v>
      </c>
      <c r="D6" s="10" t="str">
        <f ca="1">RTD("tt.rtd",,"Instr",$B$1,"VX","FUTURE",$A6, D$2)</f>
        <v>22.400</v>
      </c>
      <c r="E6" s="10" t="str">
        <f ca="1">RTD("tt.rtd",,"Instr",$B$1,"VX","FUTURE",$A6, E$2)</f>
        <v>22.350</v>
      </c>
      <c r="F6" s="10" t="str">
        <f ca="1">RTD("tt.rtd",,"Instr",$B$1,"VX","FUTURE",$A6, F$2)</f>
        <v>22.400</v>
      </c>
      <c r="G6" s="10">
        <f ca="1">RTD("tt.rtd",,"Instr",$B$1,"VX","FUTURE",$A6, G$2)</f>
        <v>154</v>
      </c>
      <c r="H6" s="10" t="str">
        <f ca="1">RTD("tt.rtd",,"Instr",$B$1,"VX","FUTURE",$A6, H$2)</f>
        <v>22.5276</v>
      </c>
      <c r="I6" s="10" t="str">
        <f ca="1">RTD("tt.rtd",,"Instr",$B$1,"VX","FUTURE",$A6, I$2)</f>
        <v>Open</v>
      </c>
      <c r="J6" s="10">
        <f ca="1">RTD("tt.rtd",,"Instr",$B$1,"VX","FUTURE",$A6, J$2)</f>
        <v>154</v>
      </c>
      <c r="K6" s="5">
        <f t="shared" ca="1" si="1"/>
        <v>22.375</v>
      </c>
      <c r="L6" s="5" t="str">
        <f t="shared" ca="1" si="2"/>
        <v>22.400</v>
      </c>
    </row>
    <row r="7" spans="1:12" x14ac:dyDescent="0.25">
      <c r="A7" s="11" t="str">
        <f ca="1">'cont list_bg'!T10</f>
        <v>Oct26</v>
      </c>
      <c r="C7" s="10" t="str">
        <f t="shared" ca="1" si="0"/>
        <v>Oct26</v>
      </c>
      <c r="D7" s="10" t="str">
        <f ca="1">RTD("tt.rtd",,"Instr",$B$1,"VX","FUTURE",$A7, D$2)</f>
        <v>22.900</v>
      </c>
      <c r="E7" s="10" t="str">
        <f ca="1">RTD("tt.rtd",,"Instr",$B$1,"VX","FUTURE",$A7, E$2)</f>
        <v>22.850</v>
      </c>
      <c r="F7" s="10" t="str">
        <f ca="1">RTD("tt.rtd",,"Instr",$B$1,"VX","FUTURE",$A7, F$2)</f>
        <v>22.900</v>
      </c>
      <c r="G7" s="10">
        <f ca="1">RTD("tt.rtd",,"Instr",$B$1,"VX","FUTURE",$A7, G$2)</f>
        <v>18</v>
      </c>
      <c r="H7" s="10" t="str">
        <f ca="1">RTD("tt.rtd",,"Instr",$B$1,"VX","FUTURE",$A7, H$2)</f>
        <v>22.9981</v>
      </c>
      <c r="I7" s="10" t="str">
        <f ca="1">RTD("tt.rtd",,"Instr",$B$1,"VX","FUTURE",$A7, I$2)</f>
        <v>Open</v>
      </c>
      <c r="J7" s="10">
        <f ca="1">RTD("tt.rtd",,"Instr",$B$1,"VX","FUTURE",$A7, J$2)</f>
        <v>18</v>
      </c>
      <c r="K7" s="5">
        <f t="shared" ca="1" si="1"/>
        <v>22.875</v>
      </c>
      <c r="L7" s="5" t="str">
        <f t="shared" ca="1" si="2"/>
        <v>22.900</v>
      </c>
    </row>
    <row r="8" spans="1:12" x14ac:dyDescent="0.25">
      <c r="A8" s="11" t="str">
        <f ca="1">'cont list_bg'!T11</f>
        <v>Nov26</v>
      </c>
      <c r="C8" s="10" t="str">
        <f t="shared" ca="1" si="0"/>
        <v>Nov26</v>
      </c>
      <c r="D8" s="10" t="str">
        <f ca="1">RTD("tt.rtd",,"Instr",$B$1,"VX","FUTURE",$A8, D$2)</f>
        <v>22.900</v>
      </c>
      <c r="E8" s="10" t="str">
        <f ca="1">RTD("tt.rtd",,"Instr",$B$1,"VX","FUTURE",$A8, E$2)</f>
        <v>22.850</v>
      </c>
      <c r="F8" s="10" t="str">
        <f ca="1">RTD("tt.rtd",,"Instr",$B$1,"VX","FUTURE",$A8, F$2)</f>
        <v>22.900</v>
      </c>
      <c r="G8" s="10">
        <f ca="1">RTD("tt.rtd",,"Instr",$B$1,"VX","FUTURE",$A8, G$2)</f>
        <v>12</v>
      </c>
      <c r="H8" s="10" t="str">
        <f ca="1">RTD("tt.rtd",,"Instr",$B$1,"VX","FUTURE",$A8, H$2)</f>
        <v>22.9565</v>
      </c>
      <c r="I8" s="10" t="str">
        <f ca="1">RTD("tt.rtd",,"Instr",$B$1,"VX","FUTURE",$A8, I$2)</f>
        <v>Open</v>
      </c>
      <c r="J8" s="10">
        <f ca="1">RTD("tt.rtd",,"Instr",$B$1,"VX","FUTURE",$A8, J$2)</f>
        <v>12</v>
      </c>
      <c r="K8" s="5">
        <f t="shared" ca="1" si="1"/>
        <v>22.875</v>
      </c>
      <c r="L8" s="5" t="str">
        <f t="shared" ca="1" si="2"/>
        <v>22.900</v>
      </c>
    </row>
    <row r="9" spans="1:12" x14ac:dyDescent="0.25">
      <c r="A9" s="11" t="str">
        <f ca="1">'cont list_bg'!T12</f>
        <v>Dec26</v>
      </c>
      <c r="C9" s="10" t="str">
        <f ca="1">A9</f>
        <v>Dec26</v>
      </c>
      <c r="D9" s="10" t="str">
        <f ca="1">RTD("tt.rtd",,"Instr",$B$1,"VX","FUTURE",$A9, D$2)</f>
        <v>22.600</v>
      </c>
      <c r="E9" s="10" t="str">
        <f ca="1">RTD("tt.rtd",,"Instr",$B$1,"VX","FUTURE",$A9, E$2)</f>
        <v>22.550</v>
      </c>
      <c r="F9" s="10" t="str">
        <f ca="1">RTD("tt.rtd",,"Instr",$B$1,"VX","FUTURE",$A9, F$2)</f>
        <v>22.600</v>
      </c>
      <c r="G9" s="10">
        <f ca="1">RTD("tt.rtd",,"Instr",$B$1,"VX","FUTURE",$A9, G$2)</f>
        <v>7</v>
      </c>
      <c r="H9" s="10" t="str">
        <f ca="1">RTD("tt.rtd",,"Instr",$B$1,"VX","FUTURE",$A9, H$2)</f>
        <v>22.675</v>
      </c>
      <c r="I9" s="10" t="str">
        <f ca="1">RTD("tt.rtd",,"Instr",$B$1,"VX","FUTURE",$A9, I$2)</f>
        <v>Open</v>
      </c>
      <c r="J9" s="10">
        <f ca="1">RTD("tt.rtd",,"Instr",$B$1,"VX","FUTURE",$A9, J$2)</f>
        <v>7</v>
      </c>
      <c r="K9" s="5">
        <f t="shared" ca="1" si="1"/>
        <v>22.575000000000003</v>
      </c>
      <c r="L9" s="5" t="str">
        <f t="shared" ca="1" si="2"/>
        <v>22.600</v>
      </c>
    </row>
    <row r="10" spans="1:12" x14ac:dyDescent="0.25">
      <c r="A10" s="11" t="str">
        <f ca="1">'cont list_bg'!T13</f>
        <v>Jan27</v>
      </c>
      <c r="C10" s="10" t="str">
        <f t="shared" ca="1" si="0"/>
        <v>Jan27</v>
      </c>
      <c r="D10" s="10" t="str">
        <f ca="1">RTD("tt.rtd",,"Instr",$B$1,"VX","FUTURE",$A10, D$2)</f>
        <v/>
      </c>
      <c r="E10" s="10" t="str">
        <f ca="1">RTD("tt.rtd",,"Instr",$B$1,"VX","FUTURE",$A10, E$2)</f>
        <v/>
      </c>
      <c r="F10" s="10" t="str">
        <f ca="1">RTD("tt.rtd",,"Instr",$B$1,"VX","FUTURE",$A10, F$2)</f>
        <v>23.000</v>
      </c>
      <c r="G10" s="10" t="str">
        <f ca="1">RTD("tt.rtd",,"Instr",$B$1,"VX","FUTURE",$A10, G$2)</f>
        <v/>
      </c>
      <c r="H10" s="10" t="str">
        <f ca="1">RTD("tt.rtd",,"Instr",$B$1,"VX","FUTURE",$A10, H$2)</f>
        <v>23.0665</v>
      </c>
      <c r="I10" s="10" t="str">
        <f ca="1">RTD("tt.rtd",,"Instr",$B$1,"VX","FUTURE",$A10, I$2)</f>
        <v/>
      </c>
      <c r="J10" s="10" t="str">
        <f ca="1">RTD("tt.rtd",,"Instr",$B$1,"VX","FUTURE",$A10, J$2)</f>
        <v/>
      </c>
      <c r="K10" s="5" t="str">
        <f t="shared" ca="1" si="1"/>
        <v>23.0665</v>
      </c>
      <c r="L10" s="5" t="str">
        <f t="shared" ca="1" si="2"/>
        <v>23.0665</v>
      </c>
    </row>
    <row r="11" spans="1:12" x14ac:dyDescent="0.25">
      <c r="A11" s="11" t="str">
        <f ca="1">'cont list_bg'!T14</f>
        <v>Feb27</v>
      </c>
      <c r="C11" s="10" t="str">
        <f t="shared" ca="1" si="0"/>
        <v>Feb27</v>
      </c>
      <c r="D11" s="10" t="str">
        <f ca="1">RTD("tt.rtd",,"Instr",$B$1,"VX","FUTURE",$A11, D$2)</f>
        <v>"Invalid instrument"</v>
      </c>
      <c r="E11" s="10" t="str">
        <f ca="1">RTD("tt.rtd",,"Instr",$B$1,"VX","FUTURE",$A11, E$2)</f>
        <v>"Invalid instrument"</v>
      </c>
      <c r="F11" s="10" t="str">
        <f ca="1">RTD("tt.rtd",,"Instr",$B$1,"VX","FUTURE",$A11, F$2)</f>
        <v>"Invalid instrument"</v>
      </c>
      <c r="G11" s="10" t="str">
        <f ca="1">RTD("tt.rtd",,"Instr",$B$1,"VX","FUTURE",$A11, G$2)</f>
        <v>"Invalid instrument"</v>
      </c>
      <c r="H11" s="10" t="str">
        <f ca="1">RTD("tt.rtd",,"Instr",$B$1,"VX","FUTURE",$A11, H$2)</f>
        <v>"Invalid instrument"</v>
      </c>
      <c r="I11" s="10" t="str">
        <f ca="1">RTD("tt.rtd",,"Instr",$B$1,"VX","FUTURE",$A11, I$2)</f>
        <v>"Invalid instrument"</v>
      </c>
      <c r="J11" s="10" t="str">
        <f ca="1">RTD("tt.rtd",,"Instr",$B$1,"VX","FUTURE",$A11, J$2)</f>
        <v>"Invalid instrument"</v>
      </c>
      <c r="K11" s="5" t="str">
        <f t="shared" ca="1" si="1"/>
        <v>"Invalid instrument"</v>
      </c>
      <c r="L11" s="5" t="str">
        <f t="shared" ca="1" si="2"/>
        <v>"Invalid instrument"</v>
      </c>
    </row>
    <row r="12" spans="1:12" x14ac:dyDescent="0.25">
      <c r="A12" s="11" t="str">
        <f ca="1">'cont list_bg'!T15</f>
        <v>Mar27</v>
      </c>
      <c r="C12" s="10" t="str">
        <f t="shared" ca="1" si="0"/>
        <v>Mar27</v>
      </c>
      <c r="D12" s="10" t="str">
        <f ca="1">RTD("tt.rtd",,"Instr",$B$1,"VX","FUTURE",$A12, D$2)</f>
        <v>"Invalid instrument"</v>
      </c>
      <c r="E12" s="10" t="str">
        <f ca="1">RTD("tt.rtd",,"Instr",$B$1,"VX","FUTURE",$A12, E$2)</f>
        <v>"Invalid instrument"</v>
      </c>
      <c r="F12" s="10" t="str">
        <f ca="1">RTD("tt.rtd",,"Instr",$B$1,"VX","FUTURE",$A12, F$2)</f>
        <v>"Invalid instrument"</v>
      </c>
      <c r="G12" s="10" t="str">
        <f ca="1">RTD("tt.rtd",,"Instr",$B$1,"VX","FUTURE",$A12, G$2)</f>
        <v>"Invalid instrument"</v>
      </c>
      <c r="H12" s="10" t="str">
        <f ca="1">RTD("tt.rtd",,"Instr",$B$1,"VX","FUTURE",$A12, H$2)</f>
        <v>"Invalid instrument"</v>
      </c>
      <c r="I12" s="10" t="str">
        <f ca="1">RTD("tt.rtd",,"Instr",$B$1,"VX","FUTURE",$A12, I$2)</f>
        <v>"Invalid instrument"</v>
      </c>
      <c r="J12" s="10" t="str">
        <f ca="1">RTD("tt.rtd",,"Instr",$B$1,"VX","FUTURE",$A12, J$2)</f>
        <v>"Invalid instrument"</v>
      </c>
      <c r="K12" s="5" t="str">
        <f t="shared" ca="1" si="1"/>
        <v>"Invalid instrument"</v>
      </c>
      <c r="L12" s="5" t="str">
        <f t="shared" ca="1" si="2"/>
        <v>"Invalid instrument"</v>
      </c>
    </row>
    <row r="13" spans="1:12" x14ac:dyDescent="0.25">
      <c r="A13" s="11"/>
      <c r="D13" s="10"/>
      <c r="E13" s="10"/>
      <c r="F13" s="10"/>
      <c r="G13" s="10"/>
      <c r="H13" s="10"/>
      <c r="I13" s="10"/>
      <c r="J13" s="10"/>
      <c r="K13" s="5"/>
      <c r="L13" s="5"/>
    </row>
    <row r="14" spans="1:12" x14ac:dyDescent="0.25">
      <c r="A14" s="11"/>
      <c r="D14" s="10"/>
      <c r="E14" s="10"/>
      <c r="F14" s="10"/>
      <c r="G14" s="10"/>
      <c r="H14" s="10"/>
      <c r="I14" s="10"/>
      <c r="J14" s="10"/>
      <c r="K14" s="5"/>
      <c r="L14" s="5"/>
    </row>
    <row r="15" spans="1:12" x14ac:dyDescent="0.25">
      <c r="A15" s="11"/>
      <c r="D15" s="10"/>
      <c r="E15" s="10"/>
      <c r="F15" s="10"/>
      <c r="G15" s="10"/>
      <c r="H15" s="10"/>
      <c r="I15" s="10"/>
      <c r="J15" s="10"/>
      <c r="K15" s="5"/>
      <c r="L15" s="5"/>
    </row>
    <row r="16" spans="1:12" x14ac:dyDescent="0.25">
      <c r="A16" s="11"/>
      <c r="D16" s="10"/>
      <c r="E16" s="10"/>
      <c r="F16" s="10"/>
      <c r="G16" s="10"/>
      <c r="H16" s="10"/>
      <c r="I16" s="10"/>
      <c r="J16" s="10"/>
      <c r="K16" s="5"/>
      <c r="L16" s="5"/>
    </row>
    <row r="17" spans="1:12" x14ac:dyDescent="0.25">
      <c r="A17" s="11"/>
      <c r="D17" s="10"/>
      <c r="E17" s="10"/>
      <c r="F17" s="10"/>
      <c r="G17" s="10"/>
      <c r="H17" s="10"/>
      <c r="I17" s="10"/>
      <c r="J17" s="10"/>
      <c r="K17" s="5"/>
      <c r="L17" s="5"/>
    </row>
    <row r="18" spans="1:12" x14ac:dyDescent="0.25">
      <c r="A18" s="11"/>
      <c r="D18" s="10"/>
      <c r="E18" s="10"/>
      <c r="F18" s="10"/>
      <c r="G18" s="10"/>
      <c r="H18" s="10"/>
      <c r="I18" s="10"/>
      <c r="J18" s="10"/>
      <c r="K18" s="5"/>
      <c r="L18" s="5"/>
    </row>
    <row r="19" spans="1:12" x14ac:dyDescent="0.25">
      <c r="A19" s="11"/>
      <c r="D19" s="10"/>
      <c r="E19" s="10"/>
      <c r="F19" s="10"/>
      <c r="G19" s="10"/>
      <c r="H19" s="10"/>
      <c r="I19" s="10"/>
      <c r="J19" s="10"/>
      <c r="K19" s="5"/>
      <c r="L19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135D-FE69-4F22-9BCA-234D624E7622}">
  <dimension ref="A1:L14"/>
  <sheetViews>
    <sheetView workbookViewId="0">
      <selection activeCell="O24" sqref="O24"/>
    </sheetView>
  </sheetViews>
  <sheetFormatPr defaultRowHeight="15" x14ac:dyDescent="0.25"/>
  <sheetData>
    <row r="1" spans="1:12" x14ac:dyDescent="0.25">
      <c r="A1" s="28" t="s">
        <v>101</v>
      </c>
      <c r="B1" s="23" t="s">
        <v>102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31" t="s">
        <v>99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A3" s="11" t="str">
        <f ca="1">'cont list_bg'!T6</f>
        <v>Jun26</v>
      </c>
      <c r="B3" s="9"/>
      <c r="C3" s="10" t="str">
        <f ca="1">A3</f>
        <v>Jun26</v>
      </c>
      <c r="D3" s="10" t="str">
        <f ca="1">RTD("tt.rtd",,"Instr",$B$1,"FVS","FUTURE",$A3, D$2)</f>
        <v>"services.rtd.subscriptionError"</v>
      </c>
      <c r="E3" s="10" t="str">
        <f ca="1">RTD("tt.rtd",,"Instr",$B$1,"FVS","FUTURE",$A3, E$2)</f>
        <v>"services.rtd.subscriptionError"</v>
      </c>
      <c r="F3" s="10" t="str">
        <f ca="1">RTD("tt.rtd",,"Instr",$B$1,"FVS","FUTURE",$A3, F$2)</f>
        <v>"services.rtd.subscriptionError"</v>
      </c>
      <c r="G3" s="10" t="str">
        <f ca="1">RTD("tt.rtd",,"Instr",$B$1,"FVS","FUTURE",$A3, G$2)</f>
        <v>"services.rtd.subscriptionError"</v>
      </c>
      <c r="H3" s="10" t="str">
        <f ca="1">RTD("tt.rtd",,"Instr",$B$1,"FVS","FUTURE",$A3, H$2)</f>
        <v>"services.rtd.subscriptionError"</v>
      </c>
      <c r="I3" s="10" t="str">
        <f ca="1">RTD("tt.rtd",,"Instr",$B$1,"FVS","FUTURE",$A3, I$2)</f>
        <v>"services.rtd.subscriptionError"</v>
      </c>
      <c r="J3" s="10" t="str">
        <f ca="1">RTD("tt.rtd",,"Instr",$B$1,"FVS","FUTURE",$A3, J$2)</f>
        <v>"services.rtd.subscriptionError"</v>
      </c>
      <c r="K3" s="5" t="str">
        <f ca="1">IFERROR(IF(I3="Open",(E3+D3)/2,H3),H3)</f>
        <v>"services.rtd.subscriptionError"</v>
      </c>
      <c r="L3" s="5" t="str">
        <f ca="1">IF(AND(I3="Open",G3&gt;0),F3,K3)</f>
        <v>"services.rtd.subscriptionError"</v>
      </c>
    </row>
    <row r="4" spans="1:12" x14ac:dyDescent="0.25">
      <c r="A4" s="11" t="str">
        <f ca="1">'cont list_bg'!T7</f>
        <v>Jul26</v>
      </c>
      <c r="C4" s="10" t="str">
        <f t="shared" ref="C4:C11" ca="1" si="0">A4</f>
        <v>Jul26</v>
      </c>
      <c r="D4" s="10" t="str">
        <f ca="1">RTD("tt.rtd",,"Instr",$B$1,"FVS","FUTURE",$A4, D$2)</f>
        <v>23.25</v>
      </c>
      <c r="E4" s="10" t="str">
        <f ca="1">RTD("tt.rtd",,"Instr",$B$1,"FVS","FUTURE",$A4, E$2)</f>
        <v>23.15</v>
      </c>
      <c r="F4" s="10" t="str">
        <f ca="1">RTD("tt.rtd",,"Instr",$B$1,"FVS","FUTURE",$A4, F$2)</f>
        <v>23.20</v>
      </c>
      <c r="G4" s="10">
        <f ca="1">RTD("tt.rtd",,"Instr",$B$1,"FVS","FUTURE",$A4, G$2)</f>
        <v>4</v>
      </c>
      <c r="H4" s="10" t="str">
        <f ca="1">RTD("tt.rtd",,"Instr",$B$1,"FVS","FUTURE",$A4, H$2)</f>
        <v>23.20</v>
      </c>
      <c r="I4" s="10" t="str">
        <f ca="1">RTD("tt.rtd",,"Instr",$B$1,"FVS","FUTURE",$A4, I$2)</f>
        <v>Open</v>
      </c>
      <c r="J4" s="10">
        <f ca="1">RTD("tt.rtd",,"Instr",$B$1,"FVS","FUTURE",$A4, J$2)</f>
        <v>4</v>
      </c>
      <c r="K4" s="5">
        <f t="shared" ref="K4:K11" ca="1" si="1">IFERROR(IF(I4="Open",(E4+D4)/2,H4),H4)</f>
        <v>23.2</v>
      </c>
      <c r="L4" s="5" t="str">
        <f t="shared" ref="L4:L11" ca="1" si="2">IF(AND(I4="Open",G4&gt;0),F4,K4)</f>
        <v>23.20</v>
      </c>
    </row>
    <row r="5" spans="1:12" x14ac:dyDescent="0.25">
      <c r="A5" s="11" t="str">
        <f ca="1">'cont list_bg'!T8</f>
        <v>Aug26</v>
      </c>
      <c r="C5" s="10" t="str">
        <f t="shared" ca="1" si="0"/>
        <v>Aug26</v>
      </c>
      <c r="D5" s="10" t="str">
        <f ca="1">RTD("tt.rtd",,"Instr",$B$1,"FVS","FUTURE",$A5, D$2)</f>
        <v>23.05</v>
      </c>
      <c r="E5" s="10" t="str">
        <f ca="1">RTD("tt.rtd",,"Instr",$B$1,"FVS","FUTURE",$A5, E$2)</f>
        <v>23.00</v>
      </c>
      <c r="F5" s="10" t="str">
        <f ca="1">RTD("tt.rtd",,"Instr",$B$1,"FVS","FUTURE",$A5, F$2)</f>
        <v>23.05</v>
      </c>
      <c r="G5" s="10">
        <f ca="1">RTD("tt.rtd",,"Instr",$B$1,"FVS","FUTURE",$A5, G$2)</f>
        <v>3</v>
      </c>
      <c r="H5" s="10" t="str">
        <f ca="1">RTD("tt.rtd",,"Instr",$B$1,"FVS","FUTURE",$A5, H$2)</f>
        <v>23.05</v>
      </c>
      <c r="I5" s="10" t="str">
        <f ca="1">RTD("tt.rtd",,"Instr",$B$1,"FVS","FUTURE",$A5, I$2)</f>
        <v>Open</v>
      </c>
      <c r="J5" s="10">
        <f ca="1">RTD("tt.rtd",,"Instr",$B$1,"FVS","FUTURE",$A5, J$2)</f>
        <v>3</v>
      </c>
      <c r="K5" s="5">
        <f t="shared" ca="1" si="1"/>
        <v>23.024999999999999</v>
      </c>
      <c r="L5" s="5" t="str">
        <f t="shared" ca="1" si="2"/>
        <v>23.05</v>
      </c>
    </row>
    <row r="6" spans="1:12" x14ac:dyDescent="0.25">
      <c r="A6" s="11" t="str">
        <f ca="1">'cont list_bg'!T9</f>
        <v>Sep26</v>
      </c>
      <c r="C6" s="10" t="str">
        <f t="shared" ca="1" si="0"/>
        <v>Sep26</v>
      </c>
      <c r="D6" s="10" t="str">
        <f ca="1">RTD("tt.rtd",,"Instr",$B$1,"FVS","FUTURE",$A6, D$2)</f>
        <v>22.75</v>
      </c>
      <c r="E6" s="10" t="str">
        <f ca="1">RTD("tt.rtd",,"Instr",$B$1,"FVS","FUTURE",$A6, E$2)</f>
        <v>22.70</v>
      </c>
      <c r="F6" s="10" t="str">
        <f ca="1">RTD("tt.rtd",,"Instr",$B$1,"FVS","FUTURE",$A6, F$2)</f>
        <v/>
      </c>
      <c r="G6" s="10">
        <f ca="1">RTD("tt.rtd",,"Instr",$B$1,"FVS","FUTURE",$A6, G$2)</f>
        <v>0</v>
      </c>
      <c r="H6" s="10" t="str">
        <f ca="1">RTD("tt.rtd",,"Instr",$B$1,"FVS","FUTURE",$A6, H$2)</f>
        <v>22.80</v>
      </c>
      <c r="I6" s="10" t="str">
        <f ca="1">RTD("tt.rtd",,"Instr",$B$1,"FVS","FUTURE",$A6, I$2)</f>
        <v>Open</v>
      </c>
      <c r="J6" s="10">
        <f ca="1">RTD("tt.rtd",,"Instr",$B$1,"FVS","FUTURE",$A6, J$2)</f>
        <v>0</v>
      </c>
      <c r="K6" s="5">
        <f t="shared" ca="1" si="1"/>
        <v>22.725000000000001</v>
      </c>
      <c r="L6" s="5">
        <f t="shared" ca="1" si="2"/>
        <v>22.725000000000001</v>
      </c>
    </row>
    <row r="7" spans="1:12" x14ac:dyDescent="0.25">
      <c r="A7" s="11" t="str">
        <f ca="1">'cont list_bg'!T10</f>
        <v>Oct26</v>
      </c>
      <c r="C7" s="10" t="str">
        <f t="shared" ca="1" si="0"/>
        <v>Oct26</v>
      </c>
      <c r="D7" s="10" t="str">
        <f ca="1">RTD("tt.rtd",,"Instr",$B$1,"FVS","FUTURE",$A7, D$2)</f>
        <v>22.55</v>
      </c>
      <c r="E7" s="10" t="str">
        <f ca="1">RTD("tt.rtd",,"Instr",$B$1,"FVS","FUTURE",$A7, E$2)</f>
        <v>22.40</v>
      </c>
      <c r="F7" s="10" t="str">
        <f ca="1">RTD("tt.rtd",,"Instr",$B$1,"FVS","FUTURE",$A7, F$2)</f>
        <v>22.60</v>
      </c>
      <c r="G7" s="10">
        <f ca="1">RTD("tt.rtd",,"Instr",$B$1,"FVS","FUTURE",$A7, G$2)</f>
        <v>6</v>
      </c>
      <c r="H7" s="10" t="str">
        <f ca="1">RTD("tt.rtd",,"Instr",$B$1,"FVS","FUTURE",$A7, H$2)</f>
        <v>22.85</v>
      </c>
      <c r="I7" s="10" t="str">
        <f ca="1">RTD("tt.rtd",,"Instr",$B$1,"FVS","FUTURE",$A7, I$2)</f>
        <v>Open</v>
      </c>
      <c r="J7" s="10">
        <f ca="1">RTD("tt.rtd",,"Instr",$B$1,"FVS","FUTURE",$A7, J$2)</f>
        <v>6</v>
      </c>
      <c r="K7" s="5">
        <f t="shared" ca="1" si="1"/>
        <v>22.475000000000001</v>
      </c>
      <c r="L7" s="5" t="str">
        <f t="shared" ca="1" si="2"/>
        <v>22.60</v>
      </c>
    </row>
    <row r="8" spans="1:12" x14ac:dyDescent="0.25">
      <c r="A8" s="11" t="str">
        <f ca="1">'cont list_bg'!T11</f>
        <v>Nov26</v>
      </c>
      <c r="C8" s="10" t="str">
        <f t="shared" ca="1" si="0"/>
        <v>Nov26</v>
      </c>
      <c r="D8" s="10" t="str">
        <f ca="1">RTD("tt.rtd",,"Instr",$B$1,"FVS","FUTURE",$A8, D$2)</f>
        <v>22.55</v>
      </c>
      <c r="E8" s="10" t="str">
        <f ca="1">RTD("tt.rtd",,"Instr",$B$1,"FVS","FUTURE",$A8, E$2)</f>
        <v>21.95</v>
      </c>
      <c r="F8" s="10" t="str">
        <f ca="1">RTD("tt.rtd",,"Instr",$B$1,"FVS","FUTURE",$A8, F$2)</f>
        <v>22.35</v>
      </c>
      <c r="G8" s="10">
        <f ca="1">RTD("tt.rtd",,"Instr",$B$1,"FVS","FUTURE",$A8, G$2)</f>
        <v>7</v>
      </c>
      <c r="H8" s="10" t="str">
        <f ca="1">RTD("tt.rtd",,"Instr",$B$1,"FVS","FUTURE",$A8, H$2)</f>
        <v>22.35</v>
      </c>
      <c r="I8" s="10" t="str">
        <f ca="1">RTD("tt.rtd",,"Instr",$B$1,"FVS","FUTURE",$A8, I$2)</f>
        <v>Open</v>
      </c>
      <c r="J8" s="10">
        <f ca="1">RTD("tt.rtd",,"Instr",$B$1,"FVS","FUTURE",$A8, J$2)</f>
        <v>7</v>
      </c>
      <c r="K8" s="5">
        <f t="shared" ca="1" si="1"/>
        <v>22.25</v>
      </c>
      <c r="L8" s="5" t="str">
        <f t="shared" ca="1" si="2"/>
        <v>22.35</v>
      </c>
    </row>
    <row r="9" spans="1:12" x14ac:dyDescent="0.25">
      <c r="A9" s="11" t="str">
        <f ca="1">'cont list_bg'!T12</f>
        <v>Dec26</v>
      </c>
      <c r="C9" s="10" t="str">
        <f t="shared" ca="1" si="0"/>
        <v>Dec26</v>
      </c>
      <c r="D9" s="10" t="str">
        <f ca="1">RTD("tt.rtd",,"Instr",$B$1,"FVS","FUTURE",$A9, D$2)</f>
        <v>22.00</v>
      </c>
      <c r="E9" s="10" t="str">
        <f ca="1">RTD("tt.rtd",,"Instr",$B$1,"FVS","FUTURE",$A9, E$2)</f>
        <v>21.35</v>
      </c>
      <c r="F9" s="10" t="str">
        <f ca="1">RTD("tt.rtd",,"Instr",$B$1,"FVS","FUTURE",$A9, F$2)</f>
        <v>22.00</v>
      </c>
      <c r="G9" s="10">
        <f ca="1">RTD("tt.rtd",,"Instr",$B$1,"FVS","FUTURE",$A9, G$2)</f>
        <v>1</v>
      </c>
      <c r="H9" s="10" t="str">
        <f ca="1">RTD("tt.rtd",,"Instr",$B$1,"FVS","FUTURE",$A9, H$2)</f>
        <v>21.90</v>
      </c>
      <c r="I9" s="10" t="str">
        <f ca="1">RTD("tt.rtd",,"Instr",$B$1,"FVS","FUTURE",$A9, I$2)</f>
        <v>Open</v>
      </c>
      <c r="J9" s="10">
        <f ca="1">RTD("tt.rtd",,"Instr",$B$1,"FVS","FUTURE",$A9, J$2)</f>
        <v>1</v>
      </c>
      <c r="K9" s="5">
        <f t="shared" ca="1" si="1"/>
        <v>21.675000000000001</v>
      </c>
      <c r="L9" s="5" t="str">
        <f t="shared" ca="1" si="2"/>
        <v>22.00</v>
      </c>
    </row>
    <row r="10" spans="1:12" x14ac:dyDescent="0.25">
      <c r="A10" s="11" t="str">
        <f ca="1">'cont list_bg'!T13</f>
        <v>Jan27</v>
      </c>
      <c r="C10" s="10" t="str">
        <f t="shared" ca="1" si="0"/>
        <v>Jan27</v>
      </c>
      <c r="D10" s="10" t="str">
        <f ca="1">RTD("tt.rtd",,"Instr",$B$1,"FVS","FUTURE",$A10, D$2)</f>
        <v>"Invalid instrument"</v>
      </c>
      <c r="E10" s="10" t="str">
        <f ca="1">RTD("tt.rtd",,"Instr",$B$1,"FVS","FUTURE",$A10, E$2)</f>
        <v>"Invalid instrument"</v>
      </c>
      <c r="F10" s="10" t="str">
        <f ca="1">RTD("tt.rtd",,"Instr",$B$1,"FVS","FUTURE",$A10, F$2)</f>
        <v>"Invalid instrument"</v>
      </c>
      <c r="G10" s="10" t="str">
        <f ca="1">RTD("tt.rtd",,"Instr",$B$1,"FVS","FUTURE",$A10, G$2)</f>
        <v>"Invalid instrument"</v>
      </c>
      <c r="H10" s="10" t="str">
        <f ca="1">RTD("tt.rtd",,"Instr",$B$1,"FVS","FUTURE",$A10, H$2)</f>
        <v>"Invalid instrument"</v>
      </c>
      <c r="I10" s="10" t="str">
        <f ca="1">RTD("tt.rtd",,"Instr",$B$1,"FVS","FUTURE",$A10, I$2)</f>
        <v>"Invalid instrument"</v>
      </c>
      <c r="J10" s="10" t="str">
        <f ca="1">RTD("tt.rtd",,"Instr",$B$1,"FVS","FUTURE",$A10, J$2)</f>
        <v>"Invalid instrument"</v>
      </c>
      <c r="K10" s="5" t="str">
        <f t="shared" ca="1" si="1"/>
        <v>"Invalid instrument"</v>
      </c>
      <c r="L10" s="5" t="str">
        <f t="shared" ca="1" si="2"/>
        <v>"Invalid instrument"</v>
      </c>
    </row>
    <row r="11" spans="1:12" x14ac:dyDescent="0.25">
      <c r="A11" s="11" t="str">
        <f ca="1">'cont list_bg'!T14</f>
        <v>Feb27</v>
      </c>
      <c r="C11" s="10" t="str">
        <f t="shared" ca="1" si="0"/>
        <v>Feb27</v>
      </c>
      <c r="D11" s="10" t="str">
        <f ca="1">RTD("tt.rtd",,"Instr",$B$1,"FVS","FUTURE",$A11, D$2)</f>
        <v>"Invalid instrument"</v>
      </c>
      <c r="E11" s="10" t="str">
        <f ca="1">RTD("tt.rtd",,"Instr",$B$1,"FVS","FUTURE",$A11, E$2)</f>
        <v>"Invalid instrument"</v>
      </c>
      <c r="F11" s="10" t="str">
        <f ca="1">RTD("tt.rtd",,"Instr",$B$1,"FVS","FUTURE",$A11, F$2)</f>
        <v>"Invalid instrument"</v>
      </c>
      <c r="G11" s="10" t="str">
        <f ca="1">RTD("tt.rtd",,"Instr",$B$1,"FVS","FUTURE",$A11, G$2)</f>
        <v>"Invalid instrument"</v>
      </c>
      <c r="H11" s="10" t="str">
        <f ca="1">RTD("tt.rtd",,"Instr",$B$1,"FVS","FUTURE",$A11, H$2)</f>
        <v>"Invalid instrument"</v>
      </c>
      <c r="I11" s="10" t="str">
        <f ca="1">RTD("tt.rtd",,"Instr",$B$1,"FVS","FUTURE",$A11, I$2)</f>
        <v>"Invalid instrument"</v>
      </c>
      <c r="J11" s="10" t="str">
        <f ca="1">RTD("tt.rtd",,"Instr",$B$1,"FVS","FUTURE",$A11, J$2)</f>
        <v>"Invalid instrument"</v>
      </c>
      <c r="K11" s="5" t="str">
        <f t="shared" ca="1" si="1"/>
        <v>"Invalid instrument"</v>
      </c>
      <c r="L11" s="5" t="str">
        <f t="shared" ca="1" si="2"/>
        <v>"Invalid instrument"</v>
      </c>
    </row>
    <row r="12" spans="1:12" x14ac:dyDescent="0.25">
      <c r="A12" s="11"/>
      <c r="C12" s="10"/>
      <c r="D12" s="10"/>
      <c r="E12" s="10"/>
      <c r="F12" s="10"/>
      <c r="G12" s="10"/>
      <c r="H12" s="10"/>
      <c r="I12" s="10"/>
      <c r="J12" s="10"/>
      <c r="K12" s="5"/>
      <c r="L12" s="5"/>
    </row>
    <row r="13" spans="1:12" x14ac:dyDescent="0.25">
      <c r="A13" s="11"/>
    </row>
    <row r="14" spans="1:12" x14ac:dyDescent="0.25">
      <c r="A14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580D-809B-45C0-AF97-BA0613C2C31E}">
  <dimension ref="A1:L2"/>
  <sheetViews>
    <sheetView workbookViewId="0">
      <selection activeCell="C5" sqref="C5"/>
    </sheetView>
  </sheetViews>
  <sheetFormatPr defaultRowHeight="15" x14ac:dyDescent="0.25"/>
  <sheetData>
    <row r="1" spans="1:12" x14ac:dyDescent="0.25">
      <c r="A1" s="22" t="s">
        <v>215</v>
      </c>
      <c r="B1" s="23" t="s">
        <v>0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86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A1EF-66E0-4682-B181-86F45C56A0B3}">
  <dimension ref="A1:L2"/>
  <sheetViews>
    <sheetView workbookViewId="0">
      <selection activeCell="D4" sqref="D4"/>
    </sheetView>
  </sheetViews>
  <sheetFormatPr defaultRowHeight="15" x14ac:dyDescent="0.25"/>
  <sheetData>
    <row r="1" spans="1:12" x14ac:dyDescent="0.25">
      <c r="A1" s="22" t="s">
        <v>218</v>
      </c>
      <c r="B1" s="23" t="s">
        <v>92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25" t="s">
        <v>93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4AD9-1581-4F18-9814-191061BCD3AE}">
  <dimension ref="A1:X44"/>
  <sheetViews>
    <sheetView workbookViewId="0">
      <selection activeCell="M39" sqref="M39"/>
    </sheetView>
  </sheetViews>
  <sheetFormatPr defaultRowHeight="15" x14ac:dyDescent="0.25"/>
  <cols>
    <col min="2" max="2" width="13.5703125" customWidth="1"/>
  </cols>
  <sheetData>
    <row r="1" spans="1:24" s="22" customFormat="1" x14ac:dyDescent="0.25">
      <c r="A1" s="28" t="s">
        <v>91</v>
      </c>
      <c r="B1" s="29" t="s">
        <v>0</v>
      </c>
      <c r="C1" s="23"/>
      <c r="K1" s="24"/>
      <c r="L1" s="24"/>
    </row>
    <row r="2" spans="1:24" s="1" customFormat="1" x14ac:dyDescent="0.25">
      <c r="A2" s="30" t="s">
        <v>91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24" x14ac:dyDescent="0.25">
      <c r="A3" s="11" t="str">
        <f ca="1">$A$2&amp;LEFT('cont list_bg'!K6)&amp;RIGHT('cont list_bg'!K6)</f>
        <v>SR1K6</v>
      </c>
      <c r="B3" s="9" t="str">
        <f ca="1">RTD("tt.rtd",,"Inst",$B$1,$A3)</f>
        <v>8541084758762950878</v>
      </c>
      <c r="C3" s="10" t="str">
        <f ca="1">RIGHT(RTD("tt.rtd",,$B3,C$2),2)</f>
        <v>K6</v>
      </c>
      <c r="D3" s="10" t="str">
        <f ca="1">RTD("tt.rtd",,$B3,D$2)</f>
        <v>96.4275</v>
      </c>
      <c r="E3" s="10" t="str">
        <f ca="1">RTD("tt.rtd",,$B3,E$2)</f>
        <v>96.4250</v>
      </c>
      <c r="F3" s="10" t="str">
        <f ca="1">RTD("tt.rtd",,$B3,F$2)</f>
        <v>96.4275</v>
      </c>
      <c r="G3" s="10">
        <f ca="1">RTD("tt.rtd",,$B3,G$2)</f>
        <v>8</v>
      </c>
      <c r="H3" s="10" t="str">
        <f ca="1">RTD("tt.rtd",,$B3,H$2)</f>
        <v>96.4225</v>
      </c>
      <c r="I3" s="10" t="str">
        <f ca="1">RTD("tt.rtd",,$B3,I$2)</f>
        <v>Open</v>
      </c>
      <c r="J3" s="10">
        <f ca="1">RTD("tt.rtd",,$B3,J$2)</f>
        <v>8</v>
      </c>
      <c r="K3" s="5">
        <f ca="1">IFERROR(IF(I3="Open",(E3+D3)/2,H3),H3)</f>
        <v>96.426249999999996</v>
      </c>
      <c r="L3" s="5" t="str">
        <f ca="1">IF(AND(I3="Open",G3&gt;0),F3,K3)</f>
        <v>96.4275</v>
      </c>
      <c r="M3" s="27"/>
      <c r="Q3" s="5"/>
      <c r="R3" s="5"/>
      <c r="S3" s="5"/>
      <c r="T3" s="5"/>
      <c r="U3" s="5"/>
      <c r="V3" s="5"/>
      <c r="W3" s="5"/>
      <c r="X3" s="5"/>
    </row>
    <row r="4" spans="1:24" x14ac:dyDescent="0.25">
      <c r="A4" s="11" t="str">
        <f ca="1">$A$2&amp;LEFT('cont list_bg'!K7)&amp;RIGHT('cont list_bg'!K7)</f>
        <v>SR1M6</v>
      </c>
      <c r="B4" s="9" t="str">
        <f ca="1">RTD("tt.rtd",,"Inst",$B$1,$A4)</f>
        <v>17580263644204615428</v>
      </c>
      <c r="C4" s="10" t="str">
        <f ca="1">RIGHT(RTD("tt.rtd",,$B4,C$2),2)</f>
        <v>M6</v>
      </c>
      <c r="D4" s="10" t="str">
        <f ca="1">RTD("tt.rtd",,$B4,D$2)</f>
        <v>96.410</v>
      </c>
      <c r="E4" s="10" t="str">
        <f ca="1">RTD("tt.rtd",,$B4,E$2)</f>
        <v>96.405</v>
      </c>
      <c r="F4" s="10" t="str">
        <f ca="1">RTD("tt.rtd",,$B4,F$2)</f>
        <v>96.410</v>
      </c>
      <c r="G4" s="10">
        <f ca="1">RTD("tt.rtd",,$B4,G$2)</f>
        <v>15</v>
      </c>
      <c r="H4" s="10" t="str">
        <f ca="1">RTD("tt.rtd",,$B4,H$2)</f>
        <v>96.405</v>
      </c>
      <c r="I4" s="10" t="str">
        <f ca="1">RTD("tt.rtd",,$B4,I$2)</f>
        <v>Open</v>
      </c>
      <c r="J4" s="10">
        <f ca="1">RTD("tt.rtd",,$B4,J$2)</f>
        <v>15</v>
      </c>
      <c r="K4" s="5">
        <f t="shared" ref="K4:K23" ca="1" si="0">IFERROR(IF(I4="Open",(E4+D4)/2,H4),H4)</f>
        <v>96.407499999999999</v>
      </c>
      <c r="L4" s="5" t="str">
        <f t="shared" ref="L4:L23" ca="1" si="1">IF(AND(I4="Open",G4&gt;0),F4,K4)</f>
        <v>96.410</v>
      </c>
      <c r="Q4" s="5"/>
      <c r="R4" s="5"/>
      <c r="S4" s="5"/>
      <c r="T4" s="5"/>
      <c r="U4" s="5"/>
      <c r="V4" s="5"/>
      <c r="W4" s="5"/>
      <c r="X4" s="5"/>
    </row>
    <row r="5" spans="1:24" x14ac:dyDescent="0.25">
      <c r="A5" s="11" t="str">
        <f ca="1">$A$2&amp;LEFT('cont list_bg'!K8)&amp;RIGHT('cont list_bg'!K8)</f>
        <v>SR1N6</v>
      </c>
      <c r="B5" s="9" t="str">
        <f ca="1">RTD("tt.rtd",,"Inst",$B$1,$A5)</f>
        <v>3880399603150483481</v>
      </c>
      <c r="C5" s="10" t="str">
        <f ca="1">RIGHT(RTD("tt.rtd",,$B5,C$2),2)</f>
        <v>N6</v>
      </c>
      <c r="D5" s="10" t="str">
        <f ca="1">RTD("tt.rtd",,$B5,D$2)</f>
        <v>96.380</v>
      </c>
      <c r="E5" s="10" t="str">
        <f ca="1">RTD("tt.rtd",,$B5,E$2)</f>
        <v>96.375</v>
      </c>
      <c r="F5" s="10" t="str">
        <f ca="1">RTD("tt.rtd",,$B5,F$2)</f>
        <v>96.375</v>
      </c>
      <c r="G5" s="10">
        <f ca="1">RTD("tt.rtd",,$B5,G$2)</f>
        <v>17</v>
      </c>
      <c r="H5" s="10" t="str">
        <f ca="1">RTD("tt.rtd",,$B5,H$2)</f>
        <v>96.370</v>
      </c>
      <c r="I5" s="10" t="str">
        <f ca="1">RTD("tt.rtd",,$B5,I$2)</f>
        <v>Open</v>
      </c>
      <c r="J5" s="10">
        <f ca="1">RTD("tt.rtd",,$B5,J$2)</f>
        <v>17</v>
      </c>
      <c r="K5" s="5">
        <f t="shared" ca="1" si="0"/>
        <v>96.377499999999998</v>
      </c>
      <c r="L5" s="5" t="str">
        <f t="shared" ca="1" si="1"/>
        <v>96.375</v>
      </c>
      <c r="Q5" s="5"/>
      <c r="R5" s="5"/>
      <c r="S5" s="5"/>
      <c r="T5" s="5"/>
      <c r="U5" s="5"/>
      <c r="V5" s="5"/>
      <c r="W5" s="5"/>
      <c r="X5" s="5"/>
    </row>
    <row r="6" spans="1:24" x14ac:dyDescent="0.25">
      <c r="A6" s="11" t="str">
        <f ca="1">$A$2&amp;LEFT('cont list_bg'!K9)&amp;RIGHT('cont list_bg'!K9)</f>
        <v>SR1Q6</v>
      </c>
      <c r="B6" s="9" t="str">
        <f ca="1">RTD("tt.rtd",,"Inst",$B$1,$A6)</f>
        <v>1431239809246394376</v>
      </c>
      <c r="C6" s="10" t="str">
        <f ca="1">RIGHT(RTD("tt.rtd",,$B6,C$2),2)</f>
        <v>Q6</v>
      </c>
      <c r="D6" s="10" t="str">
        <f ca="1">RTD("tt.rtd",,$B6,D$2)</f>
        <v>96.355</v>
      </c>
      <c r="E6" s="10" t="str">
        <f ca="1">RTD("tt.rtd",,$B6,E$2)</f>
        <v>96.350</v>
      </c>
      <c r="F6" s="10" t="str">
        <f ca="1">RTD("tt.rtd",,$B6,F$2)</f>
        <v>96.350</v>
      </c>
      <c r="G6" s="10">
        <f ca="1">RTD("tt.rtd",,$B6,G$2)</f>
        <v>1</v>
      </c>
      <c r="H6" s="10" t="str">
        <f ca="1">RTD("tt.rtd",,$B6,H$2)</f>
        <v>96.325</v>
      </c>
      <c r="I6" s="10" t="str">
        <f ca="1">RTD("tt.rtd",,$B6,I$2)</f>
        <v>Open</v>
      </c>
      <c r="J6" s="10">
        <f ca="1">RTD("tt.rtd",,$B6,J$2)</f>
        <v>1</v>
      </c>
      <c r="K6" s="5">
        <f t="shared" ca="1" si="0"/>
        <v>96.352499999999992</v>
      </c>
      <c r="L6" s="5" t="str">
        <f t="shared" ca="1" si="1"/>
        <v>96.350</v>
      </c>
      <c r="Q6" s="5"/>
      <c r="R6" s="5"/>
      <c r="S6" s="5"/>
      <c r="T6" s="5"/>
      <c r="U6" s="5"/>
      <c r="V6" s="5"/>
      <c r="W6" s="5"/>
      <c r="X6" s="5"/>
    </row>
    <row r="7" spans="1:24" x14ac:dyDescent="0.25">
      <c r="A7" s="11" t="str">
        <f ca="1">$A$2&amp;LEFT('cont list_bg'!K10)&amp;RIGHT('cont list_bg'!K10)</f>
        <v>SR1U6</v>
      </c>
      <c r="B7" s="9" t="str">
        <f ca="1">RTD("tt.rtd",,"Inst",$B$1,$A7)</f>
        <v>9309381137161962615</v>
      </c>
      <c r="C7" s="10" t="str">
        <f ca="1">RIGHT(RTD("tt.rtd",,$B7,C$2),2)</f>
        <v>U6</v>
      </c>
      <c r="D7" s="10" t="str">
        <f ca="1">RTD("tt.rtd",,$B7,D$2)</f>
        <v>96.335</v>
      </c>
      <c r="E7" s="10" t="str">
        <f ca="1">RTD("tt.rtd",,$B7,E$2)</f>
        <v>96.330</v>
      </c>
      <c r="F7" s="10" t="str">
        <f ca="1">RTD("tt.rtd",,$B7,F$2)</f>
        <v>96.330</v>
      </c>
      <c r="G7" s="10">
        <f ca="1">RTD("tt.rtd",,$B7,G$2)</f>
        <v>2</v>
      </c>
      <c r="H7" s="10" t="str">
        <f ca="1">RTD("tt.rtd",,$B7,H$2)</f>
        <v>96.295</v>
      </c>
      <c r="I7" s="10" t="str">
        <f ca="1">RTD("tt.rtd",,$B7,I$2)</f>
        <v>Open</v>
      </c>
      <c r="J7" s="10">
        <f ca="1">RTD("tt.rtd",,$B7,J$2)</f>
        <v>2</v>
      </c>
      <c r="K7" s="5">
        <f t="shared" ca="1" si="0"/>
        <v>96.332499999999996</v>
      </c>
      <c r="L7" s="5" t="str">
        <f t="shared" ca="1" si="1"/>
        <v>96.330</v>
      </c>
      <c r="Q7" s="5"/>
      <c r="R7" s="5"/>
      <c r="S7" s="5"/>
      <c r="T7" s="5"/>
      <c r="U7" s="5"/>
      <c r="V7" s="5"/>
      <c r="W7" s="5"/>
      <c r="X7" s="5"/>
    </row>
    <row r="8" spans="1:24" x14ac:dyDescent="0.25">
      <c r="A8" s="11" t="str">
        <f ca="1">$A$2&amp;LEFT('cont list_bg'!K11)&amp;RIGHT('cont list_bg'!K11)</f>
        <v>SR1V6</v>
      </c>
      <c r="B8" s="9" t="str">
        <f ca="1">RTD("tt.rtd",,"Inst",$B$1,$A8)</f>
        <v>11434035541700322135</v>
      </c>
      <c r="C8" s="10" t="str">
        <f ca="1">RIGHT(RTD("tt.rtd",,$B8,C$2),2)</f>
        <v>V6</v>
      </c>
      <c r="D8" s="10" t="str">
        <f ca="1">RTD("tt.rtd",,$B8,D$2)</f>
        <v>96.320</v>
      </c>
      <c r="E8" s="10" t="str">
        <f ca="1">RTD("tt.rtd",,$B8,E$2)</f>
        <v>96.315</v>
      </c>
      <c r="F8" s="10" t="str">
        <f ca="1">RTD("tt.rtd",,$B8,F$2)</f>
        <v>96.320</v>
      </c>
      <c r="G8" s="10">
        <f ca="1">RTD("tt.rtd",,$B8,G$2)</f>
        <v>156</v>
      </c>
      <c r="H8" s="10" t="str">
        <f ca="1">RTD("tt.rtd",,$B8,H$2)</f>
        <v>96.265</v>
      </c>
      <c r="I8" s="10" t="str">
        <f ca="1">RTD("tt.rtd",,$B8,I$2)</f>
        <v>Open</v>
      </c>
      <c r="J8" s="10">
        <f ca="1">RTD("tt.rtd",,$B8,J$2)</f>
        <v>156</v>
      </c>
      <c r="K8" s="5">
        <f t="shared" ca="1" si="0"/>
        <v>96.317499999999995</v>
      </c>
      <c r="L8" s="5" t="str">
        <f t="shared" ca="1" si="1"/>
        <v>96.320</v>
      </c>
      <c r="Q8" s="5"/>
      <c r="R8" s="5"/>
      <c r="S8" s="5"/>
      <c r="T8" s="5"/>
      <c r="U8" s="5"/>
      <c r="V8" s="5"/>
      <c r="W8" s="5"/>
      <c r="X8" s="5"/>
    </row>
    <row r="9" spans="1:24" x14ac:dyDescent="0.25">
      <c r="A9" s="11" t="str">
        <f ca="1">$A$2&amp;LEFT('cont list_bg'!K12)&amp;RIGHT('cont list_bg'!K12)</f>
        <v>SR1X6</v>
      </c>
      <c r="B9" s="9" t="str">
        <f ca="1">RTD("tt.rtd",,"Inst",$B$1,$A9)</f>
        <v>8373859479390367820</v>
      </c>
      <c r="C9" s="10" t="str">
        <f ca="1">RIGHT(RTD("tt.rtd",,$B9,C$2),2)</f>
        <v>X6</v>
      </c>
      <c r="D9" s="10" t="str">
        <f ca="1">RTD("tt.rtd",,$B9,D$2)</f>
        <v>96.295</v>
      </c>
      <c r="E9" s="10" t="str">
        <f ca="1">RTD("tt.rtd",,$B9,E$2)</f>
        <v>96.290</v>
      </c>
      <c r="F9" s="10" t="str">
        <f ca="1">RTD("tt.rtd",,$B9,F$2)</f>
        <v>96.295</v>
      </c>
      <c r="G9" s="10">
        <f ca="1">RTD("tt.rtd",,$B9,G$2)</f>
        <v>115</v>
      </c>
      <c r="H9" s="10" t="str">
        <f ca="1">RTD("tt.rtd",,$B9,H$2)</f>
        <v>96.220</v>
      </c>
      <c r="I9" s="10" t="str">
        <f ca="1">RTD("tt.rtd",,$B9,I$2)</f>
        <v>Open</v>
      </c>
      <c r="J9" s="10">
        <f ca="1">RTD("tt.rtd",,$B9,J$2)</f>
        <v>115</v>
      </c>
      <c r="K9" s="5">
        <f t="shared" ca="1" si="0"/>
        <v>96.292500000000004</v>
      </c>
      <c r="L9" s="5" t="str">
        <f t="shared" ca="1" si="1"/>
        <v>96.295</v>
      </c>
      <c r="Q9" s="5"/>
      <c r="R9" s="5"/>
      <c r="S9" s="5"/>
      <c r="T9" s="5"/>
      <c r="U9" s="5"/>
      <c r="V9" s="5"/>
      <c r="W9" s="5"/>
      <c r="X9" s="5"/>
    </row>
    <row r="10" spans="1:24" x14ac:dyDescent="0.25">
      <c r="A10" s="11" t="str">
        <f ca="1">$A$2&amp;LEFT('cont list_bg'!K13)&amp;RIGHT('cont list_bg'!K13)</f>
        <v>SR1Z6</v>
      </c>
      <c r="B10" s="9" t="str">
        <f ca="1">RTD("tt.rtd",,"Inst",$B$1,$A10)</f>
        <v>638935919762336382</v>
      </c>
      <c r="C10" s="10" t="str">
        <f ca="1">RIGHT(RTD("tt.rtd",,$B10,C$2),2)</f>
        <v>Z6</v>
      </c>
      <c r="D10" s="10" t="str">
        <f ca="1">RTD("tt.rtd",,$B10,D$2)</f>
        <v>96.240</v>
      </c>
      <c r="E10" s="10" t="str">
        <f ca="1">RTD("tt.rtd",,$B10,E$2)</f>
        <v>96.235</v>
      </c>
      <c r="F10" s="10" t="str">
        <f ca="1">RTD("tt.rtd",,$B10,F$2)</f>
        <v>96.240</v>
      </c>
      <c r="G10" s="10">
        <f ca="1">RTD("tt.rtd",,$B10,G$2)</f>
        <v>15</v>
      </c>
      <c r="H10" s="10" t="str">
        <f ca="1">RTD("tt.rtd",,$B10,H$2)</f>
        <v>96.145</v>
      </c>
      <c r="I10" s="10" t="str">
        <f ca="1">RTD("tt.rtd",,$B10,I$2)</f>
        <v>Open</v>
      </c>
      <c r="J10" s="10">
        <f ca="1">RTD("tt.rtd",,$B10,J$2)</f>
        <v>15</v>
      </c>
      <c r="K10" s="5">
        <f t="shared" ca="1" si="0"/>
        <v>96.237499999999997</v>
      </c>
      <c r="L10" s="5" t="str">
        <f t="shared" ca="1" si="1"/>
        <v>96.240</v>
      </c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11" t="str">
        <f ca="1">$A$2&amp;LEFT('cont list_bg'!K14)&amp;RIGHT('cont list_bg'!K14)</f>
        <v>SR1F7</v>
      </c>
      <c r="B11" s="9" t="str">
        <f ca="1">RTD("tt.rtd",,"Inst",$B$1,$A11)</f>
        <v>12267711630185759080</v>
      </c>
      <c r="C11" s="10" t="str">
        <f ca="1">RIGHT(RTD("tt.rtd",,$B11,C$2),2)</f>
        <v>F7</v>
      </c>
      <c r="D11" s="10" t="str">
        <f ca="1">RTD("tt.rtd",,$B11,D$2)</f>
        <v>96.225</v>
      </c>
      <c r="E11" s="10" t="str">
        <f ca="1">RTD("tt.rtd",,$B11,E$2)</f>
        <v>96.215</v>
      </c>
      <c r="F11" s="10" t="str">
        <f ca="1">RTD("tt.rtd",,$B11,F$2)</f>
        <v>96.220</v>
      </c>
      <c r="G11" s="10">
        <f ca="1">RTD("tt.rtd",,$B11,G$2)</f>
        <v>3</v>
      </c>
      <c r="H11" s="10" t="str">
        <f ca="1">RTD("tt.rtd",,$B11,H$2)</f>
        <v>96.120</v>
      </c>
      <c r="I11" s="10" t="str">
        <f ca="1">RTD("tt.rtd",,$B11,I$2)</f>
        <v>Open</v>
      </c>
      <c r="J11" s="10">
        <f ca="1">RTD("tt.rtd",,$B11,J$2)</f>
        <v>3</v>
      </c>
      <c r="K11" s="5">
        <f t="shared" ca="1" si="0"/>
        <v>96.22</v>
      </c>
      <c r="L11" s="5" t="str">
        <f t="shared" ca="1" si="1"/>
        <v>96.220</v>
      </c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11" t="str">
        <f ca="1">$A$2&amp;LEFT('cont list_bg'!K15)&amp;RIGHT('cont list_bg'!K15)</f>
        <v>SR1G7</v>
      </c>
      <c r="B12" s="9" t="str">
        <f ca="1">RTD("tt.rtd",,"Inst",$B$1,$A12)</f>
        <v>11818438006115878869</v>
      </c>
      <c r="C12" s="10" t="str">
        <f ca="1">RIGHT(RTD("tt.rtd",,$B12,C$2),2)</f>
        <v>G7</v>
      </c>
      <c r="D12" s="10" t="str">
        <f ca="1">RTD("tt.rtd",,$B12,D$2)</f>
        <v>96.200</v>
      </c>
      <c r="E12" s="10" t="str">
        <f ca="1">RTD("tt.rtd",,$B12,E$2)</f>
        <v>96.195</v>
      </c>
      <c r="F12" s="10" t="str">
        <f ca="1">RTD("tt.rtd",,$B12,F$2)</f>
        <v>96.200</v>
      </c>
      <c r="G12" s="10">
        <f ca="1">RTD("tt.rtd",,$B12,G$2)</f>
        <v>3</v>
      </c>
      <c r="H12" s="10" t="str">
        <f ca="1">RTD("tt.rtd",,$B12,H$2)</f>
        <v>96.085</v>
      </c>
      <c r="I12" s="10" t="str">
        <f ca="1">RTD("tt.rtd",,$B12,I$2)</f>
        <v>Open</v>
      </c>
      <c r="J12" s="10">
        <f ca="1">RTD("tt.rtd",,$B12,J$2)</f>
        <v>3</v>
      </c>
      <c r="K12" s="5">
        <f t="shared" ca="1" si="0"/>
        <v>96.197499999999991</v>
      </c>
      <c r="L12" s="5" t="str">
        <f t="shared" ca="1" si="1"/>
        <v>96.200</v>
      </c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11" t="str">
        <f ca="1">$A$2&amp;LEFT('cont list_bg'!K16)&amp;RIGHT('cont list_bg'!K16)</f>
        <v>SR1H7</v>
      </c>
      <c r="B13" s="9" t="str">
        <f ca="1">RTD("tt.rtd",,"Inst",$B$1,$A13)</f>
        <v>11368534221547994415</v>
      </c>
      <c r="C13" s="10" t="str">
        <f ca="1">RIGHT(RTD("tt.rtd",,$B13,C$2),2)</f>
        <v>H7</v>
      </c>
      <c r="D13" s="10" t="str">
        <f ca="1">RTD("tt.rtd",,$B13,D$2)</f>
        <v>96.175</v>
      </c>
      <c r="E13" s="10" t="str">
        <f ca="1">RTD("tt.rtd",,$B13,E$2)</f>
        <v>96.165</v>
      </c>
      <c r="F13" s="10" t="str">
        <f ca="1">RTD("tt.rtd",,$B13,F$2)</f>
        <v>96.175</v>
      </c>
      <c r="G13" s="10">
        <f ca="1">RTD("tt.rtd",,$B13,G$2)</f>
        <v>2</v>
      </c>
      <c r="H13" s="10" t="str">
        <f ca="1">RTD("tt.rtd",,$B13,H$2)</f>
        <v>96.050</v>
      </c>
      <c r="I13" s="10" t="str">
        <f ca="1">RTD("tt.rtd",,$B13,I$2)</f>
        <v>Open</v>
      </c>
      <c r="J13" s="10">
        <f ca="1">RTD("tt.rtd",,$B13,J$2)</f>
        <v>2</v>
      </c>
      <c r="K13" s="5">
        <f t="shared" ca="1" si="0"/>
        <v>96.17</v>
      </c>
      <c r="L13" s="5" t="str">
        <f t="shared" ca="1" si="1"/>
        <v>96.175</v>
      </c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11" t="str">
        <f ca="1">$A$2&amp;LEFT('cont list_bg'!K17)&amp;RIGHT('cont list_bg'!K17)</f>
        <v>SR1J7</v>
      </c>
      <c r="B14" s="9" t="str">
        <f ca="1">RTD("tt.rtd",,"Inst",$B$1,$A14)</f>
        <v>10267416492962537231</v>
      </c>
      <c r="C14" s="10" t="str">
        <f ca="1">RIGHT(RTD("tt.rtd",,$B14,C$2),2)</f>
        <v>J7</v>
      </c>
      <c r="D14" s="10" t="str">
        <f ca="1">RTD("tt.rtd",,$B14,D$2)</f>
        <v>96.145</v>
      </c>
      <c r="E14" s="10" t="str">
        <f ca="1">RTD("tt.rtd",,$B14,E$2)</f>
        <v>96.135</v>
      </c>
      <c r="F14" s="10" t="str">
        <f ca="1">RTD("tt.rtd",,$B14,F$2)</f>
        <v>96.145</v>
      </c>
      <c r="G14" s="10">
        <f ca="1">RTD("tt.rtd",,$B14,G$2)</f>
        <v>4</v>
      </c>
      <c r="H14" s="10" t="str">
        <f ca="1">RTD("tt.rtd",,$B14,H$2)</f>
        <v>96.015</v>
      </c>
      <c r="I14" s="10" t="str">
        <f ca="1">RTD("tt.rtd",,$B14,I$2)</f>
        <v>Open</v>
      </c>
      <c r="J14" s="10">
        <f ca="1">RTD("tt.rtd",,$B14,J$2)</f>
        <v>4</v>
      </c>
      <c r="K14" s="5">
        <f t="shared" ca="1" si="0"/>
        <v>96.14</v>
      </c>
      <c r="L14" s="5" t="str">
        <f t="shared" ca="1" si="1"/>
        <v>96.145</v>
      </c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11" t="str">
        <f ca="1">$A$2&amp;LEFT('cont list_bg'!K18)&amp;RIGHT('cont list_bg'!K18)</f>
        <v>SR1K7</v>
      </c>
      <c r="B15" s="9" t="str">
        <f ca="1">RTD("tt.rtd",,"Inst",$B$1,$A15)</f>
        <v>13003456520956211336</v>
      </c>
      <c r="C15" s="10" t="str">
        <f ca="1">RIGHT(RTD("tt.rtd",,$B15,C$2),2)</f>
        <v>K7</v>
      </c>
      <c r="D15" s="10" t="str">
        <f ca="1">RTD("tt.rtd",,$B15,D$2)</f>
        <v>96.115</v>
      </c>
      <c r="E15" s="10" t="str">
        <f ca="1">RTD("tt.rtd",,$B15,E$2)</f>
        <v>96.100</v>
      </c>
      <c r="F15" s="10" t="str">
        <f ca="1">RTD("tt.rtd",,$B15,F$2)</f>
        <v>96.110</v>
      </c>
      <c r="G15" s="10">
        <f ca="1">RTD("tt.rtd",,$B15,G$2)</f>
        <v>4</v>
      </c>
      <c r="H15" s="10" t="str">
        <f ca="1">RTD("tt.rtd",,$B15,H$2)</f>
        <v>95.975</v>
      </c>
      <c r="I15" s="10" t="str">
        <f ca="1">RTD("tt.rtd",,$B15,I$2)</f>
        <v>Open</v>
      </c>
      <c r="J15" s="10">
        <f ca="1">RTD("tt.rtd",,$B15,J$2)</f>
        <v>4</v>
      </c>
      <c r="K15" s="5">
        <f t="shared" ca="1" si="0"/>
        <v>96.107499999999987</v>
      </c>
      <c r="L15" s="5" t="str">
        <f t="shared" ca="1" si="1"/>
        <v>96.110</v>
      </c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11" t="str">
        <f ca="1">$A$2&amp;LEFT('cont list_bg'!K19)&amp;RIGHT('cont list_bg'!K19)</f>
        <v>SR1M7</v>
      </c>
      <c r="B16" s="9" t="str">
        <f ca="1">RTD("tt.rtd",,"Inst",$B$1,$A16)</f>
        <v>7274681043862095283</v>
      </c>
      <c r="C16" s="10" t="str">
        <f ca="1">RIGHT(RTD("tt.rtd",,$B16,C$2),2)</f>
        <v>M7</v>
      </c>
      <c r="D16" s="10" t="str">
        <f ca="1">RTD("tt.rtd",,$B16,D$2)</f>
        <v>96.110</v>
      </c>
      <c r="E16" s="10" t="str">
        <f ca="1">RTD("tt.rtd",,$B16,E$2)</f>
        <v>96.095</v>
      </c>
      <c r="F16" s="10" t="str">
        <f ca="1">RTD("tt.rtd",,$B16,F$2)</f>
        <v>95.990</v>
      </c>
      <c r="G16" s="10">
        <f ca="1">RTD("tt.rtd",,$B16,G$2)</f>
        <v>2</v>
      </c>
      <c r="H16" s="10" t="str">
        <f ca="1">RTD("tt.rtd",,$B16,H$2)</f>
        <v>95.960</v>
      </c>
      <c r="I16" s="10" t="str">
        <f ca="1">RTD("tt.rtd",,$B16,I$2)</f>
        <v>Open</v>
      </c>
      <c r="J16" s="10">
        <f ca="1">RTD("tt.rtd",,$B16,J$2)</f>
        <v>2</v>
      </c>
      <c r="K16" s="5">
        <f t="shared" ca="1" si="0"/>
        <v>96.102499999999992</v>
      </c>
      <c r="L16" s="5" t="str">
        <f t="shared" ca="1" si="1"/>
        <v>95.990</v>
      </c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11" t="str">
        <f ca="1">$A$2&amp;LEFT('cont list_bg'!K20)&amp;RIGHT('cont list_bg'!K20)</f>
        <v>SR1N7</v>
      </c>
      <c r="B17" s="9" t="str">
        <f ca="1">RTD("tt.rtd",,"Inst",$B$1,$A17)</f>
        <v>17587746350868461658</v>
      </c>
      <c r="C17" s="10" t="str">
        <f ca="1">RIGHT(RTD("tt.rtd",,$B17,C$2),2)</f>
        <v>N7</v>
      </c>
      <c r="D17" s="10" t="str">
        <f ca="1">RTD("tt.rtd",,$B17,D$2)</f>
        <v>96.110</v>
      </c>
      <c r="E17" s="10" t="str">
        <f ca="1">RTD("tt.rtd",,$B17,E$2)</f>
        <v>96.085</v>
      </c>
      <c r="F17" s="10" t="str">
        <f ca="1">RTD("tt.rtd",,$B17,F$2)</f>
        <v>96.090</v>
      </c>
      <c r="G17" s="10">
        <f ca="1">RTD("tt.rtd",,$B17,G$2)</f>
        <v>3</v>
      </c>
      <c r="H17" s="10" t="str">
        <f ca="1">RTD("tt.rtd",,$B17,H$2)</f>
        <v>95.955</v>
      </c>
      <c r="I17" s="10" t="str">
        <f ca="1">RTD("tt.rtd",,$B17,I$2)</f>
        <v>Open</v>
      </c>
      <c r="J17" s="10">
        <f ca="1">RTD("tt.rtd",,$B17,J$2)</f>
        <v>3</v>
      </c>
      <c r="K17" s="5">
        <f t="shared" ca="1" si="0"/>
        <v>96.097499999999997</v>
      </c>
      <c r="L17" s="5" t="str">
        <f t="shared" ca="1" si="1"/>
        <v>96.090</v>
      </c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11" t="str">
        <f ca="1">$A$2&amp;LEFT('cont list_bg'!K21)&amp;RIGHT('cont list_bg'!K21)</f>
        <v>SR1Q7</v>
      </c>
      <c r="B18" s="9" t="str">
        <f ca="1">RTD("tt.rtd",,"Inst",$B$1,$A18)</f>
        <v>15982701712321206525</v>
      </c>
      <c r="C18" s="10" t="str">
        <f ca="1">RIGHT(RTD("tt.rtd",,$B18,C$2),2)</f>
        <v>Q7</v>
      </c>
      <c r="D18" s="10" t="str">
        <f ca="1">RTD("tt.rtd",,$B18,D$2)</f>
        <v>96.115</v>
      </c>
      <c r="E18" s="10" t="str">
        <f ca="1">RTD("tt.rtd",,$B18,E$2)</f>
        <v>96.075</v>
      </c>
      <c r="F18" s="10" t="str">
        <f ca="1">RTD("tt.rtd",,$B18,F$2)</f>
        <v/>
      </c>
      <c r="G18" s="10" t="str">
        <f ca="1">RTD("tt.rtd",,$B18,G$2)</f>
        <v/>
      </c>
      <c r="H18" s="10" t="str">
        <f ca="1">RTD("tt.rtd",,$B18,H$2)</f>
        <v>95.940</v>
      </c>
      <c r="I18" s="10" t="str">
        <f ca="1">RTD("tt.rtd",,$B18,I$2)</f>
        <v>Open</v>
      </c>
      <c r="J18" s="10" t="str">
        <f ca="1">RTD("tt.rtd",,$B18,J$2)</f>
        <v/>
      </c>
      <c r="K18" s="5">
        <f t="shared" ca="1" si="0"/>
        <v>96.094999999999999</v>
      </c>
      <c r="L18" s="5" t="str">
        <f t="shared" ca="1" si="1"/>
        <v/>
      </c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11" t="str">
        <f ca="1">$A$2&amp;LEFT('cont list_bg'!K22)&amp;RIGHT('cont list_bg'!K22)</f>
        <v>SR1U7</v>
      </c>
      <c r="B19" s="9" t="str">
        <f ca="1">RTD("tt.rtd",,"Inst",$B$1,$A19)</f>
        <v>4652571663407480418</v>
      </c>
      <c r="C19" s="10" t="str">
        <f ca="1">RIGHT(RTD("tt.rtd",,$B19,C$2),2)</f>
        <v>U7</v>
      </c>
      <c r="D19" s="10" t="str">
        <f ca="1">RTD("tt.rtd",,$B19,D$2)</f>
        <v>N/A</v>
      </c>
      <c r="E19" s="10" t="str">
        <f ca="1">RTD("tt.rtd",,$B19,E$2)</f>
        <v>95.730</v>
      </c>
      <c r="F19" s="10" t="str">
        <f ca="1">RTD("tt.rtd",,$B19,F$2)</f>
        <v/>
      </c>
      <c r="G19" s="10">
        <f ca="1">RTD("tt.rtd",,$B19,G$2)</f>
        <v>0</v>
      </c>
      <c r="H19" s="10" t="str">
        <f ca="1">RTD("tt.rtd",,$B19,H$2)</f>
        <v>95.955</v>
      </c>
      <c r="I19" s="10" t="str">
        <f ca="1">RTD("tt.rtd",,$B19,I$2)</f>
        <v>Open</v>
      </c>
      <c r="J19" s="10">
        <f ca="1">RTD("tt.rtd",,$B19,J$2)</f>
        <v>0</v>
      </c>
      <c r="K19" s="5" t="str">
        <f t="shared" ca="1" si="0"/>
        <v>95.955</v>
      </c>
      <c r="L19" s="5" t="str">
        <f t="shared" ca="1" si="1"/>
        <v>95.955</v>
      </c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11" t="str">
        <f ca="1">$A$2&amp;LEFT('cont list_bg'!K23)&amp;RIGHT('cont list_bg'!K23)</f>
        <v>SR1V7</v>
      </c>
      <c r="B20" s="9" t="str">
        <f ca="1">RTD("tt.rtd",,"Inst",$B$1,$A20)</f>
        <v>1383735921659243123</v>
      </c>
      <c r="C20" s="10" t="str">
        <f ca="1">RIGHT(RTD("tt.rtd",,$B20,C$2),2)</f>
        <v>V7</v>
      </c>
      <c r="D20" s="10" t="str">
        <f ca="1">RTD("tt.rtd",,$B20,D$2)</f>
        <v>N/A</v>
      </c>
      <c r="E20" s="10" t="str">
        <f ca="1">RTD("tt.rtd",,$B20,E$2)</f>
        <v>N/A</v>
      </c>
      <c r="F20" s="10" t="str">
        <f ca="1">RTD("tt.rtd",,$B20,F$2)</f>
        <v/>
      </c>
      <c r="G20" s="10">
        <f ca="1">RTD("tt.rtd",,$B20,G$2)</f>
        <v>0</v>
      </c>
      <c r="H20" s="10" t="str">
        <f ca="1">RTD("tt.rtd",,$B20,H$2)</f>
        <v>95.985</v>
      </c>
      <c r="I20" s="10" t="str">
        <f ca="1">RTD("tt.rtd",,$B20,I$2)</f>
        <v>Open</v>
      </c>
      <c r="J20" s="10">
        <f ca="1">RTD("tt.rtd",,$B20,J$2)</f>
        <v>0</v>
      </c>
      <c r="K20" s="5" t="str">
        <f t="shared" ca="1" si="0"/>
        <v>95.985</v>
      </c>
      <c r="L20" s="5" t="str">
        <f t="shared" ca="1" si="1"/>
        <v>95.985</v>
      </c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11" t="str">
        <f ca="1">$A$2&amp;LEFT('cont list_bg'!K24)&amp;RIGHT('cont list_bg'!K24)</f>
        <v>SR1X7</v>
      </c>
      <c r="B21" s="9" t="str">
        <f ca="1">RTD("tt.rtd",,"Inst",$B$1,$A21)</f>
        <v>7870360088204015982</v>
      </c>
      <c r="C21" s="10" t="str">
        <f ca="1">RIGHT(RTD("tt.rtd",,$B21,C$2),2)</f>
        <v>X7</v>
      </c>
      <c r="D21" s="10" t="str">
        <f ca="1">RTD("tt.rtd",,$B21,D$2)</f>
        <v>N/A</v>
      </c>
      <c r="E21" s="10" t="str">
        <f ca="1">RTD("tt.rtd",,$B21,E$2)</f>
        <v>95.890</v>
      </c>
      <c r="F21" s="10" t="str">
        <f ca="1">RTD("tt.rtd",,$B21,F$2)</f>
        <v/>
      </c>
      <c r="G21" s="10">
        <f ca="1">RTD("tt.rtd",,$B21,G$2)</f>
        <v>0</v>
      </c>
      <c r="H21" s="10" t="str">
        <f ca="1">RTD("tt.rtd",,$B21,H$2)</f>
        <v>95.965</v>
      </c>
      <c r="I21" s="10" t="str">
        <f ca="1">RTD("tt.rtd",,$B21,I$2)</f>
        <v>Open</v>
      </c>
      <c r="J21" s="10">
        <f ca="1">RTD("tt.rtd",,$B21,J$2)</f>
        <v>0</v>
      </c>
      <c r="K21" s="5" t="str">
        <f t="shared" ca="1" si="0"/>
        <v>95.965</v>
      </c>
      <c r="L21" s="5" t="str">
        <f t="shared" ca="1" si="1"/>
        <v>95.965</v>
      </c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11" t="str">
        <f ca="1">$A$2&amp;LEFT('cont list_bg'!K25)&amp;RIGHT('cont list_bg'!K25)</f>
        <v>SR1Z7</v>
      </c>
      <c r="B22" s="9" t="str">
        <f ca="1">RTD("tt.rtd",,"Inst",$B$1,$A22)</f>
        <v>12003865359272718488</v>
      </c>
      <c r="C22" s="10" t="str">
        <f ca="1">RIGHT(RTD("tt.rtd",,$B22,C$2),2)</f>
        <v>Z7</v>
      </c>
      <c r="D22" s="10" t="str">
        <f ca="1">RTD("tt.rtd",,$B22,D$2)</f>
        <v>N/A</v>
      </c>
      <c r="E22" s="10" t="str">
        <f ca="1">RTD("tt.rtd",,$B22,E$2)</f>
        <v>95.830</v>
      </c>
      <c r="F22" s="10" t="str">
        <f ca="1">RTD("tt.rtd",,$B22,F$2)</f>
        <v/>
      </c>
      <c r="G22" s="10">
        <f ca="1">RTD("tt.rtd",,$B22,G$2)</f>
        <v>0</v>
      </c>
      <c r="H22" s="10" t="str">
        <f ca="1">RTD("tt.rtd",,$B22,H$2)</f>
        <v>96.050</v>
      </c>
      <c r="I22" s="10" t="str">
        <f ca="1">RTD("tt.rtd",,$B22,I$2)</f>
        <v>Open</v>
      </c>
      <c r="J22" s="10">
        <f ca="1">RTD("tt.rtd",,$B22,J$2)</f>
        <v>0</v>
      </c>
      <c r="K22" s="5" t="str">
        <f t="shared" ca="1" si="0"/>
        <v>96.050</v>
      </c>
      <c r="L22" s="5" t="str">
        <f t="shared" ca="1" si="1"/>
        <v>96.050</v>
      </c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11" t="str">
        <f ca="1">$A$2&amp;LEFT('cont list_bg'!K26)&amp;RIGHT('cont list_bg'!K26)</f>
        <v>SR1F8</v>
      </c>
      <c r="B23" s="9" t="str">
        <f ca="1">RTD("tt.rtd",,"Inst",$B$1,$A23)</f>
        <v>10475581751236764690</v>
      </c>
      <c r="C23" s="10" t="str">
        <f ca="1">RIGHT(RTD("tt.rtd",,$B23,C$2),2)</f>
        <v>F8</v>
      </c>
      <c r="D23" s="10" t="str">
        <f ca="1">RTD("tt.rtd",,$B23,D$2)</f>
        <v>N/A</v>
      </c>
      <c r="E23" s="10" t="str">
        <f ca="1">RTD("tt.rtd",,$B23,E$2)</f>
        <v>N/A</v>
      </c>
      <c r="F23" s="10" t="str">
        <f ca="1">RTD("tt.rtd",,$B23,F$2)</f>
        <v/>
      </c>
      <c r="G23" s="10">
        <f ca="1">RTD("tt.rtd",,$B23,G$2)</f>
        <v>0</v>
      </c>
      <c r="H23" s="10" t="str">
        <f ca="1">RTD("tt.rtd",,$B23,H$2)</f>
        <v>95.975</v>
      </c>
      <c r="I23" s="10" t="str">
        <f ca="1">RTD("tt.rtd",,$B23,I$2)</f>
        <v>Open</v>
      </c>
      <c r="J23" s="10">
        <f ca="1">RTD("tt.rtd",,$B23,J$2)</f>
        <v>0</v>
      </c>
      <c r="K23" s="5" t="str">
        <f t="shared" ca="1" si="0"/>
        <v>95.975</v>
      </c>
      <c r="L23" s="5" t="str">
        <f t="shared" ca="1" si="1"/>
        <v>95.975</v>
      </c>
      <c r="Q23" s="5"/>
      <c r="R23" s="5"/>
      <c r="S23" s="5"/>
      <c r="T23" s="5"/>
      <c r="U23" s="5"/>
      <c r="V23" s="5"/>
      <c r="W23" s="5"/>
      <c r="X23" s="5"/>
    </row>
    <row r="24" spans="1:24" x14ac:dyDescent="0.25">
      <c r="A24" s="11"/>
      <c r="B24" s="9"/>
      <c r="C24" s="10"/>
      <c r="D24" s="10"/>
      <c r="E24" s="10"/>
      <c r="F24" s="10"/>
      <c r="G24" s="10"/>
      <c r="H24" s="10"/>
      <c r="I24" s="10"/>
      <c r="J24" s="10"/>
      <c r="K24" s="5"/>
      <c r="L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11"/>
      <c r="B25" s="9"/>
      <c r="C25" s="10"/>
      <c r="D25" s="10"/>
      <c r="E25" s="10"/>
      <c r="F25" s="10"/>
      <c r="G25" s="10"/>
      <c r="H25" s="10"/>
      <c r="I25" s="10"/>
      <c r="J25" s="10"/>
      <c r="K25" s="5"/>
      <c r="L25" s="5"/>
      <c r="Q25" s="5"/>
      <c r="R25" s="5"/>
      <c r="S25" s="5"/>
      <c r="T25" s="5"/>
      <c r="U25" s="5"/>
      <c r="V25" s="5"/>
      <c r="W25" s="5"/>
      <c r="X25" s="5"/>
    </row>
    <row r="26" spans="1:24" x14ac:dyDescent="0.25">
      <c r="A26" s="11"/>
      <c r="B26" s="9"/>
      <c r="C26" s="10"/>
      <c r="D26" s="10"/>
      <c r="E26" s="10"/>
      <c r="F26" s="10"/>
      <c r="G26" s="10"/>
      <c r="H26" s="10"/>
      <c r="I26" s="10"/>
      <c r="J26" s="10"/>
      <c r="K26" s="5"/>
      <c r="L26" s="5"/>
      <c r="Q26" s="5"/>
      <c r="R26" s="5"/>
      <c r="S26" s="5"/>
      <c r="T26" s="5"/>
      <c r="U26" s="5"/>
      <c r="V26" s="5"/>
      <c r="W26" s="5"/>
      <c r="X26" s="5"/>
    </row>
    <row r="27" spans="1:24" x14ac:dyDescent="0.25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5"/>
      <c r="L27" s="5"/>
      <c r="Q27" s="5"/>
      <c r="R27" s="5"/>
      <c r="S27" s="5"/>
      <c r="T27" s="5"/>
      <c r="U27" s="5"/>
      <c r="V27" s="5"/>
      <c r="W27" s="5"/>
      <c r="X27" s="5"/>
    </row>
    <row r="28" spans="1:24" x14ac:dyDescent="0.25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5"/>
      <c r="L28" s="5"/>
    </row>
    <row r="29" spans="1:24" x14ac:dyDescent="0.25">
      <c r="A29" s="11"/>
      <c r="B29" s="9"/>
      <c r="C29" s="10"/>
      <c r="D29" s="10"/>
      <c r="E29" s="10"/>
      <c r="F29" s="10"/>
      <c r="G29" s="10"/>
      <c r="H29" s="10"/>
      <c r="I29" s="10"/>
      <c r="J29" s="10"/>
      <c r="K29" s="5"/>
      <c r="L29" s="5"/>
    </row>
    <row r="30" spans="1:24" x14ac:dyDescent="0.25">
      <c r="A30" s="11"/>
      <c r="B30" s="9"/>
      <c r="C30" s="10"/>
      <c r="D30" s="10"/>
      <c r="E30" s="10"/>
      <c r="F30" s="10"/>
      <c r="G30" s="10"/>
      <c r="H30" s="10"/>
      <c r="I30" s="10"/>
      <c r="J30" s="10"/>
      <c r="K30" s="5"/>
      <c r="L30" s="5"/>
    </row>
    <row r="31" spans="1:24" x14ac:dyDescent="0.25">
      <c r="A31" s="11"/>
      <c r="B31" s="9"/>
      <c r="C31" s="10"/>
      <c r="D31" s="10"/>
      <c r="E31" s="10"/>
      <c r="F31" s="10"/>
      <c r="G31" s="10"/>
      <c r="H31" s="10"/>
      <c r="I31" s="10"/>
      <c r="J31" s="10"/>
      <c r="K31" s="5"/>
      <c r="L31" s="5"/>
    </row>
    <row r="32" spans="1:24" x14ac:dyDescent="0.25">
      <c r="A32" s="11"/>
      <c r="B32" s="9"/>
      <c r="C32" s="10"/>
      <c r="D32" s="10"/>
      <c r="E32" s="10"/>
      <c r="F32" s="10"/>
      <c r="G32" s="10"/>
      <c r="H32" s="10"/>
      <c r="I32" s="10"/>
      <c r="J32" s="10"/>
      <c r="K32" s="5"/>
      <c r="L32" s="5"/>
    </row>
    <row r="33" spans="1:12" x14ac:dyDescent="0.25">
      <c r="A33" s="11"/>
      <c r="B33" s="9"/>
      <c r="C33" s="9"/>
      <c r="D33" s="10"/>
      <c r="E33" s="10"/>
      <c r="F33" s="10"/>
      <c r="G33" s="10"/>
      <c r="H33" s="10"/>
      <c r="I33" s="10"/>
      <c r="J33" s="10"/>
      <c r="K33" s="5"/>
      <c r="L33" s="5"/>
    </row>
    <row r="34" spans="1:12" x14ac:dyDescent="0.25">
      <c r="A34" s="11"/>
      <c r="B34" s="9"/>
      <c r="C34" s="9"/>
      <c r="D34" s="10"/>
      <c r="E34" s="10"/>
      <c r="F34" s="10"/>
      <c r="G34" s="10"/>
      <c r="H34" s="10"/>
      <c r="I34" s="10"/>
      <c r="J34" s="10"/>
      <c r="K34" s="5"/>
      <c r="L34" s="5"/>
    </row>
    <row r="35" spans="1:12" x14ac:dyDescent="0.25">
      <c r="A35" s="11"/>
      <c r="B35" s="9"/>
      <c r="C35" s="9"/>
      <c r="D35" s="10"/>
      <c r="E35" s="10"/>
      <c r="F35" s="10"/>
      <c r="G35" s="10"/>
      <c r="H35" s="10"/>
      <c r="I35" s="10"/>
      <c r="J35" s="10"/>
      <c r="K35" s="5"/>
      <c r="L35" s="5"/>
    </row>
    <row r="36" spans="1:12" x14ac:dyDescent="0.25">
      <c r="A36" s="11"/>
    </row>
    <row r="37" spans="1:12" x14ac:dyDescent="0.25">
      <c r="A37" s="11"/>
    </row>
    <row r="38" spans="1:12" x14ac:dyDescent="0.25">
      <c r="A38" s="11"/>
    </row>
    <row r="39" spans="1:12" x14ac:dyDescent="0.25">
      <c r="A39" s="11"/>
    </row>
    <row r="40" spans="1:12" x14ac:dyDescent="0.25">
      <c r="A40" s="11"/>
    </row>
    <row r="41" spans="1:12" x14ac:dyDescent="0.25">
      <c r="A41" s="11"/>
    </row>
    <row r="42" spans="1:12" x14ac:dyDescent="0.25">
      <c r="A42" s="11"/>
    </row>
    <row r="43" spans="1:12" x14ac:dyDescent="0.25">
      <c r="A43" s="11"/>
    </row>
    <row r="44" spans="1:12" x14ac:dyDescent="0.25">
      <c r="A44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6CB3-4F8E-499E-9D21-9D8E38055F46}">
  <dimension ref="A1:X44"/>
  <sheetViews>
    <sheetView workbookViewId="0">
      <selection activeCell="R37" sqref="R37"/>
    </sheetView>
  </sheetViews>
  <sheetFormatPr defaultRowHeight="15" x14ac:dyDescent="0.25"/>
  <sheetData>
    <row r="1" spans="1:24" s="22" customFormat="1" x14ac:dyDescent="0.25">
      <c r="A1" s="28" t="s">
        <v>89</v>
      </c>
      <c r="B1" s="29" t="s">
        <v>0</v>
      </c>
      <c r="C1" s="23"/>
      <c r="K1" s="24"/>
      <c r="L1" s="24"/>
    </row>
    <row r="2" spans="1:24" s="1" customFormat="1" x14ac:dyDescent="0.25">
      <c r="A2" s="30" t="s">
        <v>90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24" x14ac:dyDescent="0.25">
      <c r="A3" s="11" t="str">
        <f ca="1">$A$2&amp;LEFT('cont list_bg'!K6)&amp;RIGHT('cont list_bg'!K6)</f>
        <v>ZQK6</v>
      </c>
      <c r="B3" s="9" t="str">
        <f ca="1">RTD("tt.rtd",,"Inst",$B$1,$A3)</f>
        <v>13509294969420576563</v>
      </c>
      <c r="C3" s="10" t="str">
        <f ca="1">RIGHT(RTD("tt.rtd",,$B3,C$2),2)</f>
        <v>K6</v>
      </c>
      <c r="D3" s="10" t="str">
        <f ca="1">RTD("tt.rtd",,$B3,D$2)</f>
        <v>96.3725</v>
      </c>
      <c r="E3" s="10" t="str">
        <f ca="1">RTD("tt.rtd",,$B3,E$2)</f>
        <v>96.3700</v>
      </c>
      <c r="F3" s="10" t="str">
        <f ca="1">RTD("tt.rtd",,$B3,F$2)</f>
        <v>96.3725</v>
      </c>
      <c r="G3" s="10">
        <f ca="1">RTD("tt.rtd",,$B3,G$2)</f>
        <v>4804</v>
      </c>
      <c r="H3" s="10" t="str">
        <f ca="1">RTD("tt.rtd",,$B3,H$2)</f>
        <v>96.3700</v>
      </c>
      <c r="I3" s="10" t="str">
        <f ca="1">RTD("tt.rtd",,$B3,I$2)</f>
        <v>Open</v>
      </c>
      <c r="J3" s="10">
        <f ca="1">RTD("tt.rtd",,$B3,J$2)</f>
        <v>4804</v>
      </c>
      <c r="K3" s="5">
        <f ca="1">IFERROR(IF(I3="Open",(E3+D3)/2,H3),H3)</f>
        <v>96.371250000000003</v>
      </c>
      <c r="L3" s="5" t="str">
        <f ca="1">IF(AND(I3="Open",G3&gt;0),F3,K3)</f>
        <v>96.3725</v>
      </c>
      <c r="M3" s="27"/>
      <c r="Q3" s="5"/>
      <c r="R3" s="5"/>
      <c r="S3" s="5"/>
      <c r="T3" s="5"/>
      <c r="U3" s="5"/>
      <c r="V3" s="5"/>
      <c r="W3" s="5"/>
      <c r="X3" s="5"/>
    </row>
    <row r="4" spans="1:24" x14ac:dyDescent="0.25">
      <c r="A4" s="11" t="str">
        <f ca="1">$A$2&amp;LEFT('cont list_bg'!K7)&amp;RIGHT('cont list_bg'!K7)</f>
        <v>ZQM6</v>
      </c>
      <c r="B4" s="9" t="str">
        <f ca="1">RTD("tt.rtd",,"Inst",$B$1,$A4)</f>
        <v>1173228227003061405</v>
      </c>
      <c r="C4" s="10" t="str">
        <f ca="1">RIGHT(RTD("tt.rtd",,$B4,C$2),2)</f>
        <v>M6</v>
      </c>
      <c r="D4" s="10" t="str">
        <f ca="1">RTD("tt.rtd",,$B4,D$2)</f>
        <v>96.385</v>
      </c>
      <c r="E4" s="10" t="str">
        <f ca="1">RTD("tt.rtd",,$B4,E$2)</f>
        <v>96.380</v>
      </c>
      <c r="F4" s="10" t="str">
        <f ca="1">RTD("tt.rtd",,$B4,F$2)</f>
        <v>96.385</v>
      </c>
      <c r="G4" s="10">
        <f ca="1">RTD("tt.rtd",,$B4,G$2)</f>
        <v>3427</v>
      </c>
      <c r="H4" s="10" t="str">
        <f ca="1">RTD("tt.rtd",,$B4,H$2)</f>
        <v>96.380</v>
      </c>
      <c r="I4" s="10" t="str">
        <f ca="1">RTD("tt.rtd",,$B4,I$2)</f>
        <v>Open</v>
      </c>
      <c r="J4" s="10">
        <f ca="1">RTD("tt.rtd",,$B4,J$2)</f>
        <v>3427</v>
      </c>
      <c r="K4" s="5">
        <f t="shared" ref="K4:K23" ca="1" si="0">IFERROR(IF(I4="Open",(E4+D4)/2,H4),H4)</f>
        <v>96.382499999999993</v>
      </c>
      <c r="L4" s="5" t="str">
        <f t="shared" ref="L4:L23" ca="1" si="1">IF(AND(I4="Open",G4&gt;0),F4,K4)</f>
        <v>96.385</v>
      </c>
      <c r="Q4" s="5"/>
      <c r="R4" s="5"/>
      <c r="S4" s="5"/>
      <c r="T4" s="5"/>
      <c r="U4" s="5"/>
      <c r="V4" s="5"/>
      <c r="W4" s="5"/>
      <c r="X4" s="5"/>
    </row>
    <row r="5" spans="1:24" x14ac:dyDescent="0.25">
      <c r="A5" s="11" t="str">
        <f ca="1">$A$2&amp;LEFT('cont list_bg'!K8)&amp;RIGHT('cont list_bg'!K8)</f>
        <v>ZQN6</v>
      </c>
      <c r="B5" s="9" t="str">
        <f ca="1">RTD("tt.rtd",,"Inst",$B$1,$A5)</f>
        <v>11804036294809825783</v>
      </c>
      <c r="C5" s="10" t="str">
        <f ca="1">RIGHT(RTD("tt.rtd",,$B5,C$2),2)</f>
        <v>N6</v>
      </c>
      <c r="D5" s="10" t="str">
        <f ca="1">RTD("tt.rtd",,$B5,D$2)</f>
        <v>96.385</v>
      </c>
      <c r="E5" s="10" t="str">
        <f ca="1">RTD("tt.rtd",,$B5,E$2)</f>
        <v>96.380</v>
      </c>
      <c r="F5" s="10" t="str">
        <f ca="1">RTD("tt.rtd",,$B5,F$2)</f>
        <v>96.380</v>
      </c>
      <c r="G5" s="10">
        <f ca="1">RTD("tt.rtd",,$B5,G$2)</f>
        <v>3321</v>
      </c>
      <c r="H5" s="10" t="str">
        <f ca="1">RTD("tt.rtd",,$B5,H$2)</f>
        <v>96.370</v>
      </c>
      <c r="I5" s="10" t="str">
        <f ca="1">RTD("tt.rtd",,$B5,I$2)</f>
        <v>Open</v>
      </c>
      <c r="J5" s="10">
        <f ca="1">RTD("tt.rtd",,$B5,J$2)</f>
        <v>3321</v>
      </c>
      <c r="K5" s="5">
        <f t="shared" ca="1" si="0"/>
        <v>96.382499999999993</v>
      </c>
      <c r="L5" s="5" t="str">
        <f t="shared" ca="1" si="1"/>
        <v>96.380</v>
      </c>
      <c r="Q5" s="5"/>
      <c r="R5" s="5"/>
      <c r="S5" s="5"/>
      <c r="T5" s="5"/>
      <c r="U5" s="5"/>
      <c r="V5" s="5"/>
      <c r="W5" s="5"/>
      <c r="X5" s="5"/>
    </row>
    <row r="6" spans="1:24" x14ac:dyDescent="0.25">
      <c r="A6" s="11" t="str">
        <f ca="1">$A$2&amp;LEFT('cont list_bg'!K9)&amp;RIGHT('cont list_bg'!K9)</f>
        <v>ZQQ6</v>
      </c>
      <c r="B6" s="9" t="str">
        <f ca="1">RTD("tt.rtd",,"Inst",$B$1,$A6)</f>
        <v>8298997090319007208</v>
      </c>
      <c r="C6" s="10" t="str">
        <f ca="1">RIGHT(RTD("tt.rtd",,$B6,C$2),2)</f>
        <v>Q6</v>
      </c>
      <c r="D6" s="10" t="str">
        <f ca="1">RTD("tt.rtd",,$B6,D$2)</f>
        <v>96.370</v>
      </c>
      <c r="E6" s="10" t="str">
        <f ca="1">RTD("tt.rtd",,$B6,E$2)</f>
        <v>96.365</v>
      </c>
      <c r="F6" s="10" t="str">
        <f ca="1">RTD("tt.rtd",,$B6,F$2)</f>
        <v>96.370</v>
      </c>
      <c r="G6" s="10">
        <f ca="1">RTD("tt.rtd",,$B6,G$2)</f>
        <v>3339</v>
      </c>
      <c r="H6" s="10" t="str">
        <f ca="1">RTD("tt.rtd",,$B6,H$2)</f>
        <v>96.335</v>
      </c>
      <c r="I6" s="10" t="str">
        <f ca="1">RTD("tt.rtd",,$B6,I$2)</f>
        <v>Open</v>
      </c>
      <c r="J6" s="10">
        <f ca="1">RTD("tt.rtd",,$B6,J$2)</f>
        <v>3339</v>
      </c>
      <c r="K6" s="5">
        <f t="shared" ca="1" si="0"/>
        <v>96.367500000000007</v>
      </c>
      <c r="L6" s="5" t="str">
        <f t="shared" ca="1" si="1"/>
        <v>96.370</v>
      </c>
      <c r="Q6" s="5"/>
      <c r="R6" s="5"/>
      <c r="S6" s="5"/>
      <c r="T6" s="5"/>
      <c r="U6" s="5"/>
      <c r="V6" s="5"/>
      <c r="W6" s="5"/>
      <c r="X6" s="5"/>
    </row>
    <row r="7" spans="1:24" x14ac:dyDescent="0.25">
      <c r="A7" s="11" t="str">
        <f ca="1">$A$2&amp;LEFT('cont list_bg'!K10)&amp;RIGHT('cont list_bg'!K10)</f>
        <v>ZQU6</v>
      </c>
      <c r="B7" s="9" t="str">
        <f ca="1">RTD("tt.rtd",,"Inst",$B$1,$A7)</f>
        <v>7551864584289735302</v>
      </c>
      <c r="C7" s="10" t="str">
        <f ca="1">RIGHT(RTD("tt.rtd",,$B7,C$2),2)</f>
        <v>U6</v>
      </c>
      <c r="D7" s="10" t="str">
        <f ca="1">RTD("tt.rtd",,$B7,D$2)</f>
        <v>96.355</v>
      </c>
      <c r="E7" s="10" t="str">
        <f ca="1">RTD("tt.rtd",,$B7,E$2)</f>
        <v>96.350</v>
      </c>
      <c r="F7" s="10" t="str">
        <f ca="1">RTD("tt.rtd",,$B7,F$2)</f>
        <v>96.355</v>
      </c>
      <c r="G7" s="10">
        <f ca="1">RTD("tt.rtd",,$B7,G$2)</f>
        <v>621</v>
      </c>
      <c r="H7" s="10" t="str">
        <f ca="1">RTD("tt.rtd",,$B7,H$2)</f>
        <v>96.310</v>
      </c>
      <c r="I7" s="10" t="str">
        <f ca="1">RTD("tt.rtd",,$B7,I$2)</f>
        <v>Open</v>
      </c>
      <c r="J7" s="10">
        <f ca="1">RTD("tt.rtd",,$B7,J$2)</f>
        <v>621</v>
      </c>
      <c r="K7" s="5">
        <f t="shared" ca="1" si="0"/>
        <v>96.352499999999992</v>
      </c>
      <c r="L7" s="5" t="str">
        <f t="shared" ca="1" si="1"/>
        <v>96.355</v>
      </c>
      <c r="Q7" s="5"/>
      <c r="R7" s="5"/>
      <c r="S7" s="5"/>
      <c r="T7" s="5"/>
      <c r="U7" s="5"/>
      <c r="V7" s="5"/>
      <c r="W7" s="5"/>
      <c r="X7" s="5"/>
    </row>
    <row r="8" spans="1:24" x14ac:dyDescent="0.25">
      <c r="A8" s="11" t="str">
        <f ca="1">$A$2&amp;LEFT('cont list_bg'!K11)&amp;RIGHT('cont list_bg'!K11)</f>
        <v>ZQV6</v>
      </c>
      <c r="B8" s="9" t="str">
        <f ca="1">RTD("tt.rtd",,"Inst",$B$1,$A8)</f>
        <v>7772853716872034867</v>
      </c>
      <c r="C8" s="10" t="str">
        <f ca="1">RIGHT(RTD("tt.rtd",,$B8,C$2),2)</f>
        <v>V6</v>
      </c>
      <c r="D8" s="10" t="str">
        <f ca="1">RTD("tt.rtd",,$B8,D$2)</f>
        <v>96.340</v>
      </c>
      <c r="E8" s="10" t="str">
        <f ca="1">RTD("tt.rtd",,$B8,E$2)</f>
        <v>96.335</v>
      </c>
      <c r="F8" s="10" t="str">
        <f ca="1">RTD("tt.rtd",,$B8,F$2)</f>
        <v>96.340</v>
      </c>
      <c r="G8" s="10">
        <f ca="1">RTD("tt.rtd",,$B8,G$2)</f>
        <v>125</v>
      </c>
      <c r="H8" s="10" t="str">
        <f ca="1">RTD("tt.rtd",,$B8,H$2)</f>
        <v>96.280</v>
      </c>
      <c r="I8" s="10" t="str">
        <f ca="1">RTD("tt.rtd",,$B8,I$2)</f>
        <v>Open</v>
      </c>
      <c r="J8" s="10">
        <f ca="1">RTD("tt.rtd",,$B8,J$2)</f>
        <v>125</v>
      </c>
      <c r="K8" s="5">
        <f t="shared" ca="1" si="0"/>
        <v>96.337500000000006</v>
      </c>
      <c r="L8" s="5" t="str">
        <f t="shared" ca="1" si="1"/>
        <v>96.340</v>
      </c>
      <c r="Q8" s="5"/>
      <c r="R8" s="5"/>
      <c r="S8" s="5"/>
      <c r="T8" s="5"/>
      <c r="U8" s="5"/>
      <c r="V8" s="5"/>
      <c r="W8" s="5"/>
      <c r="X8" s="5"/>
    </row>
    <row r="9" spans="1:24" x14ac:dyDescent="0.25">
      <c r="A9" s="11" t="str">
        <f ca="1">$A$2&amp;LEFT('cont list_bg'!K12)&amp;RIGHT('cont list_bg'!K12)</f>
        <v>ZQX6</v>
      </c>
      <c r="B9" s="9" t="str">
        <f ca="1">RTD("tt.rtd",,"Inst",$B$1,$A9)</f>
        <v>13208077381270415860</v>
      </c>
      <c r="C9" s="10" t="str">
        <f ca="1">RIGHT(RTD("tt.rtd",,$B9,C$2),2)</f>
        <v>X6</v>
      </c>
      <c r="D9" s="10" t="str">
        <f ca="1">RTD("tt.rtd",,$B9,D$2)</f>
        <v>96.320</v>
      </c>
      <c r="E9" s="10" t="str">
        <f ca="1">RTD("tt.rtd",,$B9,E$2)</f>
        <v>96.315</v>
      </c>
      <c r="F9" s="10" t="str">
        <f ca="1">RTD("tt.rtd",,$B9,F$2)</f>
        <v>96.315</v>
      </c>
      <c r="G9" s="10">
        <f ca="1">RTD("tt.rtd",,$B9,G$2)</f>
        <v>148</v>
      </c>
      <c r="H9" s="10" t="str">
        <f ca="1">RTD("tt.rtd",,$B9,H$2)</f>
        <v>96.240</v>
      </c>
      <c r="I9" s="10" t="str">
        <f ca="1">RTD("tt.rtd",,$B9,I$2)</f>
        <v>Open</v>
      </c>
      <c r="J9" s="10">
        <f ca="1">RTD("tt.rtd",,$B9,J$2)</f>
        <v>148</v>
      </c>
      <c r="K9" s="5">
        <f t="shared" ca="1" si="0"/>
        <v>96.317499999999995</v>
      </c>
      <c r="L9" s="5" t="str">
        <f t="shared" ca="1" si="1"/>
        <v>96.315</v>
      </c>
      <c r="Q9" s="5"/>
      <c r="R9" s="5"/>
      <c r="S9" s="5"/>
      <c r="T9" s="5"/>
      <c r="U9" s="5"/>
      <c r="V9" s="5"/>
      <c r="W9" s="5"/>
      <c r="X9" s="5"/>
    </row>
    <row r="10" spans="1:24" x14ac:dyDescent="0.25">
      <c r="A10" s="11" t="str">
        <f ca="1">$A$2&amp;LEFT('cont list_bg'!K13)&amp;RIGHT('cont list_bg'!K13)</f>
        <v>ZQZ6</v>
      </c>
      <c r="B10" s="9" t="str">
        <f ca="1">RTD("tt.rtd",,"Inst",$B$1,$A10)</f>
        <v>14618707670258439481</v>
      </c>
      <c r="C10" s="10" t="str">
        <f ca="1">RIGHT(RTD("tt.rtd",,$B10,C$2),2)</f>
        <v>Z6</v>
      </c>
      <c r="D10" s="10" t="str">
        <f ca="1">RTD("tt.rtd",,$B10,D$2)</f>
        <v>96.275</v>
      </c>
      <c r="E10" s="10" t="str">
        <f ca="1">RTD("tt.rtd",,$B10,E$2)</f>
        <v>96.270</v>
      </c>
      <c r="F10" s="10" t="str">
        <f ca="1">RTD("tt.rtd",,$B10,F$2)</f>
        <v>96.280</v>
      </c>
      <c r="G10" s="10">
        <f ca="1">RTD("tt.rtd",,$B10,G$2)</f>
        <v>66</v>
      </c>
      <c r="H10" s="10" t="str">
        <f ca="1">RTD("tt.rtd",,$B10,H$2)</f>
        <v>96.180</v>
      </c>
      <c r="I10" s="10" t="str">
        <f ca="1">RTD("tt.rtd",,$B10,I$2)</f>
        <v>Open</v>
      </c>
      <c r="J10" s="10">
        <f ca="1">RTD("tt.rtd",,$B10,J$2)</f>
        <v>66</v>
      </c>
      <c r="K10" s="5">
        <f t="shared" ca="1" si="0"/>
        <v>96.272500000000008</v>
      </c>
      <c r="L10" s="5" t="str">
        <f t="shared" ca="1" si="1"/>
        <v>96.280</v>
      </c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11" t="str">
        <f ca="1">$A$2&amp;LEFT('cont list_bg'!K14)&amp;RIGHT('cont list_bg'!K14)</f>
        <v>ZQF7</v>
      </c>
      <c r="B11" s="9" t="str">
        <f ca="1">RTD("tt.rtd",,"Inst",$B$1,$A11)</f>
        <v>10173148798524565647</v>
      </c>
      <c r="C11" s="10" t="str">
        <f ca="1">RIGHT(RTD("tt.rtd",,$B11,C$2),2)</f>
        <v>F7</v>
      </c>
      <c r="D11" s="10" t="str">
        <f ca="1">RTD("tt.rtd",,$B11,D$2)</f>
        <v>96.260</v>
      </c>
      <c r="E11" s="10" t="str">
        <f ca="1">RTD("tt.rtd",,$B11,E$2)</f>
        <v>96.255</v>
      </c>
      <c r="F11" s="10" t="str">
        <f ca="1">RTD("tt.rtd",,$B11,F$2)</f>
        <v>96.260</v>
      </c>
      <c r="G11" s="10">
        <f ca="1">RTD("tt.rtd",,$B11,G$2)</f>
        <v>31</v>
      </c>
      <c r="H11" s="10" t="str">
        <f ca="1">RTD("tt.rtd",,$B11,H$2)</f>
        <v>96.155</v>
      </c>
      <c r="I11" s="10" t="str">
        <f ca="1">RTD("tt.rtd",,$B11,I$2)</f>
        <v>Open</v>
      </c>
      <c r="J11" s="10">
        <f ca="1">RTD("tt.rtd",,$B11,J$2)</f>
        <v>31</v>
      </c>
      <c r="K11" s="5">
        <f t="shared" ca="1" si="0"/>
        <v>96.257499999999993</v>
      </c>
      <c r="L11" s="5" t="str">
        <f t="shared" ca="1" si="1"/>
        <v>96.260</v>
      </c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11" t="str">
        <f ca="1">$A$2&amp;LEFT('cont list_bg'!K15)&amp;RIGHT('cont list_bg'!K15)</f>
        <v>ZQG7</v>
      </c>
      <c r="B12" s="9" t="str">
        <f ca="1">RTD("tt.rtd",,"Inst",$B$1,$A12)</f>
        <v>880647980586631019</v>
      </c>
      <c r="C12" s="10" t="str">
        <f ca="1">RIGHT(RTD("tt.rtd",,$B12,C$2),2)</f>
        <v>G7</v>
      </c>
      <c r="D12" s="10" t="str">
        <f ca="1">RTD("tt.rtd",,$B12,D$2)</f>
        <v>96.230</v>
      </c>
      <c r="E12" s="10" t="str">
        <f ca="1">RTD("tt.rtd",,$B12,E$2)</f>
        <v>96.225</v>
      </c>
      <c r="F12" s="10" t="str">
        <f ca="1">RTD("tt.rtd",,$B12,F$2)</f>
        <v>96.225</v>
      </c>
      <c r="G12" s="10">
        <f ca="1">RTD("tt.rtd",,$B12,G$2)</f>
        <v>10</v>
      </c>
      <c r="H12" s="10" t="str">
        <f ca="1">RTD("tt.rtd",,$B12,H$2)</f>
        <v>96.110</v>
      </c>
      <c r="I12" s="10" t="str">
        <f ca="1">RTD("tt.rtd",,$B12,I$2)</f>
        <v>Open</v>
      </c>
      <c r="J12" s="10">
        <f ca="1">RTD("tt.rtd",,$B12,J$2)</f>
        <v>10</v>
      </c>
      <c r="K12" s="5">
        <f t="shared" ca="1" si="0"/>
        <v>96.227499999999992</v>
      </c>
      <c r="L12" s="5" t="str">
        <f t="shared" ca="1" si="1"/>
        <v>96.225</v>
      </c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11" t="str">
        <f ca="1">$A$2&amp;LEFT('cont list_bg'!K16)&amp;RIGHT('cont list_bg'!K16)</f>
        <v>ZQH7</v>
      </c>
      <c r="B13" s="9" t="str">
        <f ca="1">RTD("tt.rtd",,"Inst",$B$1,$A13)</f>
        <v>887816061348387785</v>
      </c>
      <c r="C13" s="10" t="str">
        <f ca="1">RIGHT(RTD("tt.rtd",,$B13,C$2),2)</f>
        <v>H7</v>
      </c>
      <c r="D13" s="10" t="str">
        <f ca="1">RTD("tt.rtd",,$B13,D$2)</f>
        <v>96.200</v>
      </c>
      <c r="E13" s="10" t="str">
        <f ca="1">RTD("tt.rtd",,$B13,E$2)</f>
        <v>96.195</v>
      </c>
      <c r="F13" s="10" t="str">
        <f ca="1">RTD("tt.rtd",,$B13,F$2)</f>
        <v>96.200</v>
      </c>
      <c r="G13" s="10">
        <f ca="1">RTD("tt.rtd",,$B13,G$2)</f>
        <v>16</v>
      </c>
      <c r="H13" s="10" t="str">
        <f ca="1">RTD("tt.rtd",,$B13,H$2)</f>
        <v>96.075</v>
      </c>
      <c r="I13" s="10" t="str">
        <f ca="1">RTD("tt.rtd",,$B13,I$2)</f>
        <v>Open</v>
      </c>
      <c r="J13" s="10">
        <f ca="1">RTD("tt.rtd",,$B13,J$2)</f>
        <v>16</v>
      </c>
      <c r="K13" s="5">
        <f t="shared" ca="1" si="0"/>
        <v>96.197499999999991</v>
      </c>
      <c r="L13" s="5" t="str">
        <f t="shared" ca="1" si="1"/>
        <v>96.200</v>
      </c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11" t="str">
        <f ca="1">$A$2&amp;LEFT('cont list_bg'!K17)&amp;RIGHT('cont list_bg'!K17)</f>
        <v>ZQJ7</v>
      </c>
      <c r="B14" s="9" t="str">
        <f ca="1">RTD("tt.rtd",,"Inst",$B$1,$A14)</f>
        <v>410715719020149495</v>
      </c>
      <c r="C14" s="10" t="str">
        <f ca="1">RIGHT(RTD("tt.rtd",,$B14,C$2),2)</f>
        <v>J7</v>
      </c>
      <c r="D14" s="10" t="str">
        <f ca="1">RTD("tt.rtd",,$B14,D$2)</f>
        <v>96.170</v>
      </c>
      <c r="E14" s="10" t="str">
        <f ca="1">RTD("tt.rtd",,$B14,E$2)</f>
        <v>96.165</v>
      </c>
      <c r="F14" s="10" t="str">
        <f ca="1">RTD("tt.rtd",,$B14,F$2)</f>
        <v>96.170</v>
      </c>
      <c r="G14" s="10">
        <f ca="1">RTD("tt.rtd",,$B14,G$2)</f>
        <v>3</v>
      </c>
      <c r="H14" s="10" t="str">
        <f ca="1">RTD("tt.rtd",,$B14,H$2)</f>
        <v>96.035</v>
      </c>
      <c r="I14" s="10" t="str">
        <f ca="1">RTD("tt.rtd",,$B14,I$2)</f>
        <v>Open</v>
      </c>
      <c r="J14" s="10">
        <f ca="1">RTD("tt.rtd",,$B14,J$2)</f>
        <v>3</v>
      </c>
      <c r="K14" s="5">
        <f t="shared" ca="1" si="0"/>
        <v>96.167500000000004</v>
      </c>
      <c r="L14" s="5" t="str">
        <f t="shared" ca="1" si="1"/>
        <v>96.170</v>
      </c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11" t="str">
        <f ca="1">$A$2&amp;LEFT('cont list_bg'!K18)&amp;RIGHT('cont list_bg'!K18)</f>
        <v>ZQK7</v>
      </c>
      <c r="B15" s="9" t="str">
        <f ca="1">RTD("tt.rtd",,"Inst",$B$1,$A15)</f>
        <v>6196921965222780943</v>
      </c>
      <c r="C15" s="10" t="str">
        <f ca="1">RIGHT(RTD("tt.rtd",,$B15,C$2),2)</f>
        <v>K7</v>
      </c>
      <c r="D15" s="10" t="str">
        <f ca="1">RTD("tt.rtd",,$B15,D$2)</f>
        <v>96.140</v>
      </c>
      <c r="E15" s="10" t="str">
        <f ca="1">RTD("tt.rtd",,$B15,E$2)</f>
        <v>96.130</v>
      </c>
      <c r="F15" s="10" t="str">
        <f ca="1">RTD("tt.rtd",,$B15,F$2)</f>
        <v>96.135</v>
      </c>
      <c r="G15" s="10">
        <f ca="1">RTD("tt.rtd",,$B15,G$2)</f>
        <v>1</v>
      </c>
      <c r="H15" s="10" t="str">
        <f ca="1">RTD("tt.rtd",,$B15,H$2)</f>
        <v>95.995</v>
      </c>
      <c r="I15" s="10" t="str">
        <f ca="1">RTD("tt.rtd",,$B15,I$2)</f>
        <v>Open</v>
      </c>
      <c r="J15" s="10">
        <f ca="1">RTD("tt.rtd",,$B15,J$2)</f>
        <v>1</v>
      </c>
      <c r="K15" s="5">
        <f t="shared" ca="1" si="0"/>
        <v>96.134999999999991</v>
      </c>
      <c r="L15" s="5" t="str">
        <f t="shared" ca="1" si="1"/>
        <v>96.135</v>
      </c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11" t="str">
        <f ca="1">$A$2&amp;LEFT('cont list_bg'!K19)&amp;RIGHT('cont list_bg'!K19)</f>
        <v>ZQM7</v>
      </c>
      <c r="B16" s="9" t="str">
        <f ca="1">RTD("tt.rtd",,"Inst",$B$1,$A16)</f>
        <v>690279264195766323</v>
      </c>
      <c r="C16" s="10" t="str">
        <f ca="1">RIGHT(RTD("tt.rtd",,$B16,C$2),2)</f>
        <v>M7</v>
      </c>
      <c r="D16" s="10" t="str">
        <f ca="1">RTD("tt.rtd",,$B16,D$2)</f>
        <v>96.140</v>
      </c>
      <c r="E16" s="10" t="str">
        <f ca="1">RTD("tt.rtd",,$B16,E$2)</f>
        <v>96.130</v>
      </c>
      <c r="F16" s="10" t="str">
        <f ca="1">RTD("tt.rtd",,$B16,F$2)</f>
        <v>96.140</v>
      </c>
      <c r="G16" s="10">
        <f ca="1">RTD("tt.rtd",,$B16,G$2)</f>
        <v>1</v>
      </c>
      <c r="H16" s="10" t="str">
        <f ca="1">RTD("tt.rtd",,$B16,H$2)</f>
        <v>95.990</v>
      </c>
      <c r="I16" s="10" t="str">
        <f ca="1">RTD("tt.rtd",,$B16,I$2)</f>
        <v>Open</v>
      </c>
      <c r="J16" s="10">
        <f ca="1">RTD("tt.rtd",,$B16,J$2)</f>
        <v>1</v>
      </c>
      <c r="K16" s="5">
        <f t="shared" ca="1" si="0"/>
        <v>96.134999999999991</v>
      </c>
      <c r="L16" s="5" t="str">
        <f t="shared" ca="1" si="1"/>
        <v>96.140</v>
      </c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11" t="str">
        <f ca="1">$A$2&amp;LEFT('cont list_bg'!K20)&amp;RIGHT('cont list_bg'!K20)</f>
        <v>ZQN7</v>
      </c>
      <c r="B17" s="9" t="str">
        <f ca="1">RTD("tt.rtd",,"Inst",$B$1,$A17)</f>
        <v>2334564383434255324</v>
      </c>
      <c r="C17" s="10" t="str">
        <f ca="1">RIGHT(RTD("tt.rtd",,$B17,C$2),2)</f>
        <v>N7</v>
      </c>
      <c r="D17" s="10" t="str">
        <f ca="1">RTD("tt.rtd",,$B17,D$2)</f>
        <v>96.135</v>
      </c>
      <c r="E17" s="10" t="str">
        <f ca="1">RTD("tt.rtd",,$B17,E$2)</f>
        <v>96.125</v>
      </c>
      <c r="F17" s="10" t="str">
        <f ca="1">RTD("tt.rtd",,$B17,F$2)</f>
        <v>96.135</v>
      </c>
      <c r="G17" s="10">
        <f ca="1">RTD("tt.rtd",,$B17,G$2)</f>
        <v>3</v>
      </c>
      <c r="H17" s="10" t="str">
        <f ca="1">RTD("tt.rtd",,$B17,H$2)</f>
        <v>95.985</v>
      </c>
      <c r="I17" s="10" t="str">
        <f ca="1">RTD("tt.rtd",,$B17,I$2)</f>
        <v>Open</v>
      </c>
      <c r="J17" s="10">
        <f ca="1">RTD("tt.rtd",,$B17,J$2)</f>
        <v>3</v>
      </c>
      <c r="K17" s="5">
        <f t="shared" ca="1" si="0"/>
        <v>96.13</v>
      </c>
      <c r="L17" s="5" t="str">
        <f t="shared" ca="1" si="1"/>
        <v>96.135</v>
      </c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11" t="str">
        <f ca="1">$A$2&amp;LEFT('cont list_bg'!K21)&amp;RIGHT('cont list_bg'!K21)</f>
        <v>ZQQ7</v>
      </c>
      <c r="B18" s="9" t="str">
        <f ca="1">RTD("tt.rtd",,"Inst",$B$1,$A18)</f>
        <v>11729320422875922731</v>
      </c>
      <c r="C18" s="10" t="str">
        <f ca="1">RIGHT(RTD("tt.rtd",,$B18,C$2),2)</f>
        <v>Q7</v>
      </c>
      <c r="D18" s="10" t="str">
        <f ca="1">RTD("tt.rtd",,$B18,D$2)</f>
        <v>96.130</v>
      </c>
      <c r="E18" s="10" t="str">
        <f ca="1">RTD("tt.rtd",,$B18,E$2)</f>
        <v>96.120</v>
      </c>
      <c r="F18" s="10" t="str">
        <f ca="1">RTD("tt.rtd",,$B18,F$2)</f>
        <v>96.100</v>
      </c>
      <c r="G18" s="10">
        <f ca="1">RTD("tt.rtd",,$B18,G$2)</f>
        <v>1</v>
      </c>
      <c r="H18" s="10" t="str">
        <f ca="1">RTD("tt.rtd",,$B18,H$2)</f>
        <v>95.975</v>
      </c>
      <c r="I18" s="10" t="str">
        <f ca="1">RTD("tt.rtd",,$B18,I$2)</f>
        <v>Open</v>
      </c>
      <c r="J18" s="10">
        <f ca="1">RTD("tt.rtd",,$B18,J$2)</f>
        <v>1</v>
      </c>
      <c r="K18" s="5">
        <f t="shared" ca="1" si="0"/>
        <v>96.125</v>
      </c>
      <c r="L18" s="5" t="str">
        <f t="shared" ca="1" si="1"/>
        <v>96.100</v>
      </c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11" t="str">
        <f ca="1">$A$2&amp;LEFT('cont list_bg'!K22)&amp;RIGHT('cont list_bg'!K22)</f>
        <v>ZQU7</v>
      </c>
      <c r="B19" s="9" t="str">
        <f ca="1">RTD("tt.rtd",,"Inst",$B$1,$A19)</f>
        <v>3324241383996491464</v>
      </c>
      <c r="C19" s="10" t="str">
        <f ca="1">RIGHT(RTD("tt.rtd",,$B19,C$2),2)</f>
        <v>U7</v>
      </c>
      <c r="D19" s="10" t="str">
        <f ca="1">RTD("tt.rtd",,$B19,D$2)</f>
        <v>96.280</v>
      </c>
      <c r="E19" s="10" t="str">
        <f ca="1">RTD("tt.rtd",,$B19,E$2)</f>
        <v>95.935</v>
      </c>
      <c r="F19" s="10" t="str">
        <f ca="1">RTD("tt.rtd",,$B19,F$2)</f>
        <v>96.100</v>
      </c>
      <c r="G19" s="10">
        <f ca="1">RTD("tt.rtd",,$B19,G$2)</f>
        <v>2</v>
      </c>
      <c r="H19" s="10" t="str">
        <f ca="1">RTD("tt.rtd",,$B19,H$2)</f>
        <v>95.995</v>
      </c>
      <c r="I19" s="10" t="str">
        <f ca="1">RTD("tt.rtd",,$B19,I$2)</f>
        <v>Open</v>
      </c>
      <c r="J19" s="10">
        <f ca="1">RTD("tt.rtd",,$B19,J$2)</f>
        <v>2</v>
      </c>
      <c r="K19" s="5">
        <f t="shared" ca="1" si="0"/>
        <v>96.107500000000002</v>
      </c>
      <c r="L19" s="5" t="str">
        <f t="shared" ca="1" si="1"/>
        <v>96.100</v>
      </c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11" t="str">
        <f ca="1">$A$2&amp;LEFT('cont list_bg'!K23)&amp;RIGHT('cont list_bg'!K23)</f>
        <v>ZQV7</v>
      </c>
      <c r="B20" s="9" t="str">
        <f ca="1">RTD("tt.rtd",,"Inst",$B$1,$A20)</f>
        <v>3627732870844351558</v>
      </c>
      <c r="C20" s="10" t="str">
        <f ca="1">RIGHT(RTD("tt.rtd",,$B20,C$2),2)</f>
        <v>V7</v>
      </c>
      <c r="D20" s="10" t="str">
        <f ca="1">RTD("tt.rtd",,$B20,D$2)</f>
        <v>96.165</v>
      </c>
      <c r="E20" s="10" t="str">
        <f ca="1">RTD("tt.rtd",,$B20,E$2)</f>
        <v>96.120</v>
      </c>
      <c r="F20" s="10" t="str">
        <f ca="1">RTD("tt.rtd",,$B20,F$2)</f>
        <v/>
      </c>
      <c r="G20" s="10" t="str">
        <f ca="1">RTD("tt.rtd",,$B20,G$2)</f>
        <v/>
      </c>
      <c r="H20" s="10" t="str">
        <f ca="1">RTD("tt.rtd",,$B20,H$2)</f>
        <v>96.010</v>
      </c>
      <c r="I20" s="10" t="str">
        <f ca="1">RTD("tt.rtd",,$B20,I$2)</f>
        <v>Open</v>
      </c>
      <c r="J20" s="10" t="str">
        <f ca="1">RTD("tt.rtd",,$B20,J$2)</f>
        <v/>
      </c>
      <c r="K20" s="5">
        <f t="shared" ca="1" si="0"/>
        <v>96.142500000000013</v>
      </c>
      <c r="L20" s="5" t="str">
        <f t="shared" ca="1" si="1"/>
        <v/>
      </c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11" t="str">
        <f ca="1">$A$2&amp;LEFT('cont list_bg'!K24)&amp;RIGHT('cont list_bg'!K24)</f>
        <v>ZQX7</v>
      </c>
      <c r="B21" s="9" t="str">
        <f ca="1">RTD("tt.rtd",,"Inst",$B$1,$A21)</f>
        <v>10620117733411968864</v>
      </c>
      <c r="C21" s="10" t="str">
        <f ca="1">RIGHT(RTD("tt.rtd",,$B21,C$2),2)</f>
        <v>X7</v>
      </c>
      <c r="D21" s="10" t="str">
        <f ca="1">RTD("tt.rtd",,$B21,D$2)</f>
        <v>96.300</v>
      </c>
      <c r="E21" s="10" t="str">
        <f ca="1">RTD("tt.rtd",,$B21,E$2)</f>
        <v>95.950</v>
      </c>
      <c r="F21" s="10" t="str">
        <f ca="1">RTD("tt.rtd",,$B21,F$2)</f>
        <v/>
      </c>
      <c r="G21" s="10">
        <f ca="1">RTD("tt.rtd",,$B21,G$2)</f>
        <v>0</v>
      </c>
      <c r="H21" s="10" t="str">
        <f ca="1">RTD("tt.rtd",,$B21,H$2)</f>
        <v>96.015</v>
      </c>
      <c r="I21" s="10" t="str">
        <f ca="1">RTD("tt.rtd",,$B21,I$2)</f>
        <v>Open</v>
      </c>
      <c r="J21" s="10">
        <f ca="1">RTD("tt.rtd",,$B21,J$2)</f>
        <v>0</v>
      </c>
      <c r="K21" s="5">
        <f t="shared" ca="1" si="0"/>
        <v>96.125</v>
      </c>
      <c r="L21" s="5">
        <f t="shared" ca="1" si="1"/>
        <v>96.125</v>
      </c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11" t="str">
        <f ca="1">$A$2&amp;LEFT('cont list_bg'!K25)&amp;RIGHT('cont list_bg'!K25)</f>
        <v>ZQZ7</v>
      </c>
      <c r="B22" s="9" t="str">
        <f ca="1">RTD("tt.rtd",,"Inst",$B$1,$A22)</f>
        <v>696286304630187001</v>
      </c>
      <c r="C22" s="10" t="str">
        <f ca="1">RIGHT(RTD("tt.rtd",,$B22,C$2),2)</f>
        <v>Z7</v>
      </c>
      <c r="D22" s="10" t="str">
        <f ca="1">RTD("tt.rtd",,$B22,D$2)</f>
        <v>N/A</v>
      </c>
      <c r="E22" s="10" t="str">
        <f ca="1">RTD("tt.rtd",,$B22,E$2)</f>
        <v>96.015</v>
      </c>
      <c r="F22" s="10" t="str">
        <f ca="1">RTD("tt.rtd",,$B22,F$2)</f>
        <v/>
      </c>
      <c r="G22" s="10">
        <f ca="1">RTD("tt.rtd",,$B22,G$2)</f>
        <v>0</v>
      </c>
      <c r="H22" s="10" t="str">
        <f ca="1">RTD("tt.rtd",,$B22,H$2)</f>
        <v>96.080</v>
      </c>
      <c r="I22" s="10" t="str">
        <f ca="1">RTD("tt.rtd",,$B22,I$2)</f>
        <v>Open</v>
      </c>
      <c r="J22" s="10">
        <f ca="1">RTD("tt.rtd",,$B22,J$2)</f>
        <v>0</v>
      </c>
      <c r="K22" s="5" t="str">
        <f t="shared" ca="1" si="0"/>
        <v>96.080</v>
      </c>
      <c r="L22" s="5" t="str">
        <f t="shared" ca="1" si="1"/>
        <v>96.080</v>
      </c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11" t="str">
        <f ca="1">$A$2&amp;LEFT('cont list_bg'!K26)&amp;RIGHT('cont list_bg'!K26)</f>
        <v>ZQF8</v>
      </c>
      <c r="B23" s="9" t="str">
        <f ca="1">RTD("tt.rtd",,"Inst",$B$1,$A23)</f>
        <v>9891412297684821778</v>
      </c>
      <c r="C23" s="10" t="str">
        <f ca="1">RIGHT(RTD("tt.rtd",,$B23,C$2),2)</f>
        <v>F8</v>
      </c>
      <c r="D23" s="10" t="str">
        <f ca="1">RTD("tt.rtd",,$B23,D$2)</f>
        <v>N/A</v>
      </c>
      <c r="E23" s="10" t="str">
        <f ca="1">RTD("tt.rtd",,$B23,E$2)</f>
        <v>N/A</v>
      </c>
      <c r="F23" s="10" t="str">
        <f ca="1">RTD("tt.rtd",,$B23,F$2)</f>
        <v/>
      </c>
      <c r="G23" s="10">
        <f ca="1">RTD("tt.rtd",,$B23,G$2)</f>
        <v>0</v>
      </c>
      <c r="H23" s="10" t="str">
        <f ca="1">RTD("tt.rtd",,$B23,H$2)</f>
        <v>96.040</v>
      </c>
      <c r="I23" s="10" t="str">
        <f ca="1">RTD("tt.rtd",,$B23,I$2)</f>
        <v>Open</v>
      </c>
      <c r="J23" s="10">
        <f ca="1">RTD("tt.rtd",,$B23,J$2)</f>
        <v>0</v>
      </c>
      <c r="K23" s="5" t="str">
        <f t="shared" ca="1" si="0"/>
        <v>96.040</v>
      </c>
      <c r="L23" s="5" t="str">
        <f t="shared" ca="1" si="1"/>
        <v>96.040</v>
      </c>
      <c r="Q23" s="5"/>
      <c r="R23" s="5"/>
      <c r="S23" s="5"/>
      <c r="T23" s="5"/>
      <c r="U23" s="5"/>
      <c r="V23" s="5"/>
      <c r="W23" s="5"/>
      <c r="X23" s="5"/>
    </row>
    <row r="24" spans="1:24" x14ac:dyDescent="0.25">
      <c r="A24" s="11"/>
      <c r="B24" s="9"/>
      <c r="C24" s="10"/>
      <c r="D24" s="10"/>
      <c r="E24" s="10"/>
      <c r="F24" s="10"/>
      <c r="G24" s="10"/>
      <c r="H24" s="10"/>
      <c r="I24" s="10"/>
      <c r="J24" s="10"/>
      <c r="K24" s="5"/>
      <c r="L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11"/>
      <c r="B25" s="9"/>
      <c r="C25" s="10"/>
      <c r="D25" s="10"/>
      <c r="E25" s="10"/>
      <c r="F25" s="10"/>
      <c r="G25" s="10"/>
      <c r="H25" s="10"/>
      <c r="I25" s="10"/>
      <c r="J25" s="10"/>
      <c r="K25" s="5"/>
      <c r="L25" s="5"/>
      <c r="Q25" s="5"/>
      <c r="R25" s="5"/>
      <c r="S25" s="5"/>
      <c r="T25" s="5"/>
      <c r="U25" s="5"/>
      <c r="V25" s="5"/>
      <c r="W25" s="5"/>
      <c r="X25" s="5"/>
    </row>
    <row r="26" spans="1:24" x14ac:dyDescent="0.25">
      <c r="A26" s="11"/>
      <c r="B26" s="9"/>
      <c r="C26" s="10"/>
      <c r="D26" s="10"/>
      <c r="E26" s="10"/>
      <c r="F26" s="10"/>
      <c r="G26" s="10"/>
      <c r="H26" s="10"/>
      <c r="I26" s="10"/>
      <c r="J26" s="10"/>
      <c r="K26" s="5"/>
      <c r="L26" s="5"/>
      <c r="Q26" s="5"/>
      <c r="R26" s="5"/>
      <c r="S26" s="5"/>
      <c r="T26" s="5"/>
      <c r="U26" s="5"/>
      <c r="V26" s="5"/>
      <c r="W26" s="5"/>
      <c r="X26" s="5"/>
    </row>
    <row r="27" spans="1:24" x14ac:dyDescent="0.25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5"/>
      <c r="L27" s="5"/>
      <c r="Q27" s="5"/>
      <c r="R27" s="5"/>
      <c r="S27" s="5"/>
      <c r="T27" s="5"/>
      <c r="U27" s="5"/>
      <c r="V27" s="5"/>
      <c r="W27" s="5"/>
      <c r="X27" s="5"/>
    </row>
    <row r="28" spans="1:24" x14ac:dyDescent="0.25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5"/>
      <c r="L28" s="5"/>
    </row>
    <row r="29" spans="1:24" x14ac:dyDescent="0.25">
      <c r="A29" s="11"/>
      <c r="B29" s="9"/>
      <c r="C29" s="10"/>
      <c r="D29" s="10"/>
      <c r="E29" s="10"/>
      <c r="F29" s="10"/>
      <c r="G29" s="10"/>
      <c r="H29" s="10"/>
      <c r="I29" s="10"/>
      <c r="J29" s="10"/>
      <c r="K29" s="5"/>
      <c r="L29" s="5"/>
    </row>
    <row r="30" spans="1:24" x14ac:dyDescent="0.25">
      <c r="A30" s="11"/>
      <c r="B30" s="9"/>
      <c r="C30" s="10"/>
      <c r="D30" s="10"/>
      <c r="E30" s="10"/>
      <c r="F30" s="10"/>
      <c r="G30" s="10"/>
      <c r="H30" s="10"/>
      <c r="I30" s="10"/>
      <c r="J30" s="10"/>
      <c r="K30" s="5"/>
      <c r="L30" s="5"/>
    </row>
    <row r="31" spans="1:24" x14ac:dyDescent="0.25">
      <c r="A31" s="11"/>
      <c r="B31" s="9"/>
      <c r="C31" s="10"/>
      <c r="D31" s="10"/>
      <c r="E31" s="10"/>
      <c r="F31" s="10"/>
      <c r="G31" s="10"/>
      <c r="H31" s="10"/>
      <c r="I31" s="10"/>
      <c r="J31" s="10"/>
      <c r="K31" s="5"/>
      <c r="L31" s="5"/>
    </row>
    <row r="32" spans="1:24" x14ac:dyDescent="0.25">
      <c r="A32" s="11"/>
      <c r="B32" s="9"/>
      <c r="C32" s="10"/>
      <c r="D32" s="10"/>
      <c r="E32" s="10"/>
      <c r="F32" s="10"/>
      <c r="G32" s="10"/>
      <c r="H32" s="10"/>
      <c r="I32" s="10"/>
      <c r="J32" s="10"/>
      <c r="K32" s="5"/>
      <c r="L32" s="5"/>
    </row>
    <row r="33" spans="1:12" x14ac:dyDescent="0.25">
      <c r="A33" s="11"/>
      <c r="B33" s="9"/>
      <c r="C33" s="9"/>
      <c r="D33" s="10"/>
      <c r="E33" s="10"/>
      <c r="F33" s="10"/>
      <c r="G33" s="10"/>
      <c r="H33" s="10"/>
      <c r="I33" s="10"/>
      <c r="J33" s="10"/>
      <c r="K33" s="5"/>
      <c r="L33" s="5"/>
    </row>
    <row r="34" spans="1:12" x14ac:dyDescent="0.25">
      <c r="A34" s="11"/>
      <c r="B34" s="9"/>
      <c r="C34" s="9"/>
      <c r="D34" s="10"/>
      <c r="E34" s="10"/>
      <c r="F34" s="10"/>
      <c r="G34" s="10"/>
      <c r="H34" s="10"/>
      <c r="I34" s="10"/>
      <c r="J34" s="10"/>
      <c r="K34" s="5"/>
      <c r="L34" s="5"/>
    </row>
    <row r="35" spans="1:12" x14ac:dyDescent="0.25">
      <c r="A35" s="11"/>
      <c r="B35" s="9"/>
      <c r="C35" s="9"/>
      <c r="D35" s="10"/>
      <c r="E35" s="10"/>
      <c r="F35" s="10"/>
      <c r="G35" s="10"/>
      <c r="H35" s="10"/>
      <c r="I35" s="10"/>
      <c r="J35" s="10"/>
      <c r="K35" s="5"/>
      <c r="L35" s="5"/>
    </row>
    <row r="36" spans="1:12" x14ac:dyDescent="0.25">
      <c r="A36" s="11"/>
    </row>
    <row r="37" spans="1:12" x14ac:dyDescent="0.25">
      <c r="A37" s="11"/>
    </row>
    <row r="38" spans="1:12" x14ac:dyDescent="0.25">
      <c r="A38" s="11"/>
    </row>
    <row r="39" spans="1:12" x14ac:dyDescent="0.25">
      <c r="A39" s="11"/>
    </row>
    <row r="40" spans="1:12" x14ac:dyDescent="0.25">
      <c r="A40" s="11"/>
    </row>
    <row r="41" spans="1:12" x14ac:dyDescent="0.25">
      <c r="A41" s="11"/>
    </row>
    <row r="42" spans="1:12" x14ac:dyDescent="0.25">
      <c r="A42" s="11"/>
    </row>
    <row r="43" spans="1:12" x14ac:dyDescent="0.25">
      <c r="A43" s="11"/>
    </row>
    <row r="44" spans="1:12" x14ac:dyDescent="0.25">
      <c r="A44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1103-B5F5-4C80-AA22-5D8E09EF383D}">
  <dimension ref="A1:L17"/>
  <sheetViews>
    <sheetView workbookViewId="0">
      <selection activeCell="O13" sqref="O13"/>
    </sheetView>
  </sheetViews>
  <sheetFormatPr defaultRowHeight="15" x14ac:dyDescent="0.25"/>
  <sheetData>
    <row r="1" spans="1:12" x14ac:dyDescent="0.25">
      <c r="A1" s="28" t="s">
        <v>217</v>
      </c>
      <c r="B1" s="29" t="s">
        <v>0</v>
      </c>
      <c r="C1" s="23"/>
      <c r="D1" s="22"/>
      <c r="E1" s="22"/>
      <c r="F1" s="22"/>
      <c r="G1" s="22"/>
      <c r="H1" s="22"/>
      <c r="I1" s="22"/>
      <c r="J1" s="22"/>
      <c r="K1" s="24"/>
      <c r="L1" s="24"/>
    </row>
    <row r="2" spans="1:12" x14ac:dyDescent="0.25">
      <c r="A2" s="30" t="s">
        <v>217</v>
      </c>
      <c r="B2" s="1" t="s">
        <v>11</v>
      </c>
      <c r="C2" s="1" t="s">
        <v>15</v>
      </c>
      <c r="D2" s="1" t="s">
        <v>36</v>
      </c>
      <c r="E2" s="1" t="s">
        <v>31</v>
      </c>
      <c r="F2" s="1" t="s">
        <v>44</v>
      </c>
      <c r="G2" s="1" t="s">
        <v>56</v>
      </c>
      <c r="H2" s="1" t="s">
        <v>65</v>
      </c>
      <c r="I2" s="1" t="s">
        <v>87</v>
      </c>
      <c r="J2" s="1" t="s">
        <v>56</v>
      </c>
      <c r="K2" s="26" t="s">
        <v>88</v>
      </c>
      <c r="L2" s="26" t="s">
        <v>205</v>
      </c>
    </row>
    <row r="3" spans="1:12" x14ac:dyDescent="0.25">
      <c r="A3" s="11" t="str">
        <f ca="1">$A$2&amp;LEFT('cont list_bg'!K6)&amp;RIGHT('cont list_bg'!K6)</f>
        <v>SZI0K6</v>
      </c>
      <c r="B3" s="9"/>
      <c r="C3" s="10" t="str">
        <f ca="1">RIGHT(A3,2)</f>
        <v>K6</v>
      </c>
      <c r="D3" s="10"/>
      <c r="E3" s="10"/>
      <c r="F3" s="10"/>
      <c r="G3" s="10"/>
      <c r="H3" s="10"/>
      <c r="I3" s="10"/>
      <c r="J3" s="10"/>
      <c r="K3" s="5">
        <f ca="1">('SR1'!K3-ZQ!K3)</f>
        <v>5.499999999999261E-2</v>
      </c>
      <c r="L3" s="5"/>
    </row>
    <row r="4" spans="1:12" x14ac:dyDescent="0.25">
      <c r="A4" s="11" t="str">
        <f ca="1">$A$2&amp;LEFT('cont list_bg'!K7)&amp;RIGHT('cont list_bg'!K7)</f>
        <v>SZI0M6</v>
      </c>
      <c r="C4" s="10" t="str">
        <f t="shared" ref="C4:C17" ca="1" si="0">RIGHT(A4,2)</f>
        <v>M6</v>
      </c>
      <c r="K4" s="5">
        <f ca="1">('SR1'!K4-ZQ!K4)</f>
        <v>2.5000000000005684E-2</v>
      </c>
    </row>
    <row r="5" spans="1:12" x14ac:dyDescent="0.25">
      <c r="A5" s="11" t="str">
        <f ca="1">$A$2&amp;LEFT('cont list_bg'!K8)&amp;RIGHT('cont list_bg'!K8)</f>
        <v>SZI0N6</v>
      </c>
      <c r="C5" s="10" t="str">
        <f t="shared" ca="1" si="0"/>
        <v>N6</v>
      </c>
      <c r="K5" s="5">
        <f ca="1">('SR1'!K5-ZQ!K5)</f>
        <v>-4.9999999999954525E-3</v>
      </c>
    </row>
    <row r="6" spans="1:12" x14ac:dyDescent="0.25">
      <c r="A6" s="11" t="str">
        <f ca="1">$A$2&amp;LEFT('cont list_bg'!K9)&amp;RIGHT('cont list_bg'!K9)</f>
        <v>SZI0Q6</v>
      </c>
      <c r="C6" s="10" t="str">
        <f t="shared" ca="1" si="0"/>
        <v>Q6</v>
      </c>
      <c r="K6" s="5">
        <f ca="1">('SR1'!K6-ZQ!K6)</f>
        <v>-1.5000000000014779E-2</v>
      </c>
    </row>
    <row r="7" spans="1:12" x14ac:dyDescent="0.25">
      <c r="A7" s="11" t="str">
        <f ca="1">$A$2&amp;LEFT('cont list_bg'!K10)&amp;RIGHT('cont list_bg'!K10)</f>
        <v>SZI0U6</v>
      </c>
      <c r="C7" s="10" t="str">
        <f t="shared" ca="1" si="0"/>
        <v>U6</v>
      </c>
      <c r="K7" s="5">
        <f ca="1">('SR1'!K7-ZQ!K7)</f>
        <v>-1.9999999999996021E-2</v>
      </c>
    </row>
    <row r="8" spans="1:12" x14ac:dyDescent="0.25">
      <c r="A8" s="11" t="str">
        <f ca="1">$A$2&amp;LEFT('cont list_bg'!K11)&amp;RIGHT('cont list_bg'!K11)</f>
        <v>SZI0V6</v>
      </c>
      <c r="C8" s="10" t="str">
        <f t="shared" ca="1" si="0"/>
        <v>V6</v>
      </c>
      <c r="K8" s="5">
        <f ca="1">('SR1'!K8-ZQ!K8)</f>
        <v>-2.0000000000010232E-2</v>
      </c>
    </row>
    <row r="9" spans="1:12" x14ac:dyDescent="0.25">
      <c r="A9" s="11" t="str">
        <f ca="1">$A$2&amp;LEFT('cont list_bg'!K12)&amp;RIGHT('cont list_bg'!K12)</f>
        <v>SZI0X6</v>
      </c>
      <c r="C9" s="10" t="str">
        <f t="shared" ca="1" si="0"/>
        <v>X6</v>
      </c>
      <c r="K9" s="5">
        <f ca="1">('SR1'!K9-ZQ!K9)</f>
        <v>-2.4999999999991473E-2</v>
      </c>
    </row>
    <row r="10" spans="1:12" x14ac:dyDescent="0.25">
      <c r="A10" s="11" t="str">
        <f ca="1">$A$2&amp;LEFT('cont list_bg'!K13)&amp;RIGHT('cont list_bg'!K13)</f>
        <v>SZI0Z6</v>
      </c>
      <c r="C10" s="10" t="str">
        <f t="shared" ca="1" si="0"/>
        <v>Z6</v>
      </c>
      <c r="K10" s="5">
        <f ca="1">('SR1'!K10-ZQ!K10)</f>
        <v>-3.50000000000108E-2</v>
      </c>
    </row>
    <row r="11" spans="1:12" x14ac:dyDescent="0.25">
      <c r="A11" s="11" t="str">
        <f ca="1">$A$2&amp;LEFT('cont list_bg'!K14)&amp;RIGHT('cont list_bg'!K14)</f>
        <v>SZI0F7</v>
      </c>
      <c r="C11" s="10" t="str">
        <f t="shared" ca="1" si="0"/>
        <v>F7</v>
      </c>
      <c r="K11" s="5">
        <f ca="1">('SR1'!K11-ZQ!K11)</f>
        <v>-3.7499999999994316E-2</v>
      </c>
    </row>
    <row r="12" spans="1:12" x14ac:dyDescent="0.25">
      <c r="A12" s="11" t="str">
        <f ca="1">$A$2&amp;LEFT('cont list_bg'!K15)&amp;RIGHT('cont list_bg'!K15)</f>
        <v>SZI0G7</v>
      </c>
      <c r="C12" s="10" t="str">
        <f t="shared" ca="1" si="0"/>
        <v>G7</v>
      </c>
      <c r="K12" s="5">
        <f ca="1">('SR1'!K12-ZQ!K12)</f>
        <v>-3.0000000000001137E-2</v>
      </c>
    </row>
    <row r="13" spans="1:12" x14ac:dyDescent="0.25">
      <c r="A13" s="11" t="str">
        <f ca="1">$A$2&amp;LEFT('cont list_bg'!K16)&amp;RIGHT('cont list_bg'!K16)</f>
        <v>SZI0H7</v>
      </c>
      <c r="C13" s="10" t="str">
        <f t="shared" ca="1" si="0"/>
        <v>H7</v>
      </c>
      <c r="K13" s="5">
        <f ca="1">('SR1'!K13-ZQ!K13)</f>
        <v>-2.74999999999892E-2</v>
      </c>
    </row>
    <row r="14" spans="1:12" x14ac:dyDescent="0.25">
      <c r="A14" s="11" t="str">
        <f ca="1">$A$2&amp;LEFT('cont list_bg'!K17)&amp;RIGHT('cont list_bg'!K17)</f>
        <v>SZI0J7</v>
      </c>
      <c r="C14" s="10" t="str">
        <f t="shared" ca="1" si="0"/>
        <v>J7</v>
      </c>
      <c r="K14" s="5">
        <f ca="1">('SR1'!K14-ZQ!K14)</f>
        <v>-2.7500000000003411E-2</v>
      </c>
    </row>
    <row r="15" spans="1:12" x14ac:dyDescent="0.25">
      <c r="A15" s="11" t="str">
        <f ca="1">$A$2&amp;LEFT('cont list_bg'!K18)&amp;RIGHT('cont list_bg'!K18)</f>
        <v>SZI0K7</v>
      </c>
      <c r="C15" s="10" t="str">
        <f t="shared" ca="1" si="0"/>
        <v>K7</v>
      </c>
      <c r="K15" s="5">
        <f ca="1">('SR1'!K15-ZQ!K15)</f>
        <v>-2.7500000000003411E-2</v>
      </c>
    </row>
    <row r="16" spans="1:12" x14ac:dyDescent="0.25">
      <c r="A16" s="11" t="str">
        <f ca="1">$A$2&amp;LEFT('cont list_bg'!K19)&amp;RIGHT('cont list_bg'!K19)</f>
        <v>SZI0M7</v>
      </c>
      <c r="C16" s="10" t="str">
        <f t="shared" ca="1" si="0"/>
        <v>M7</v>
      </c>
      <c r="K16" s="5">
        <f ca="1">('SR1'!K16-ZQ!K16)</f>
        <v>-3.2499999999998863E-2</v>
      </c>
    </row>
    <row r="17" spans="1:11" x14ac:dyDescent="0.25">
      <c r="A17" s="11" t="str">
        <f ca="1">$A$2&amp;LEFT('cont list_bg'!K20)&amp;RIGHT('cont list_bg'!K20)</f>
        <v>SZI0N7</v>
      </c>
      <c r="C17" s="10" t="str">
        <f t="shared" ca="1" si="0"/>
        <v>N7</v>
      </c>
      <c r="K17" s="5">
        <f ca="1">('SR1'!K17-ZQ!K17)</f>
        <v>-3.2499999999998863E-2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0FEF-D441-4380-A4BF-BAA84C811DA8}">
  <dimension ref="A1:Z141"/>
  <sheetViews>
    <sheetView topLeftCell="A16" workbookViewId="0">
      <selection activeCell="F70" sqref="F70"/>
    </sheetView>
  </sheetViews>
  <sheetFormatPr defaultRowHeight="15" x14ac:dyDescent="0.25"/>
  <cols>
    <col min="4" max="4" width="2.7109375" customWidth="1"/>
    <col min="5" max="5" width="13.42578125" customWidth="1"/>
    <col min="8" max="8" width="3" customWidth="1"/>
    <col min="9" max="9" width="15.7109375" customWidth="1"/>
    <col min="12" max="12" width="3.140625" customWidth="1"/>
    <col min="14" max="14" width="9" customWidth="1"/>
    <col min="15" max="16" width="10.42578125" bestFit="1" customWidth="1"/>
    <col min="17" max="17" width="11.28515625" customWidth="1"/>
    <col min="21" max="21" width="2.140625" customWidth="1"/>
    <col min="24" max="24" width="3" customWidth="1"/>
  </cols>
  <sheetData>
    <row r="1" spans="1:26" x14ac:dyDescent="0.25">
      <c r="A1" s="2" t="s">
        <v>103</v>
      </c>
      <c r="B1" s="3" t="s">
        <v>104</v>
      </c>
      <c r="C1" s="4" t="s">
        <v>105</v>
      </c>
      <c r="D1" s="19"/>
      <c r="E1" s="2" t="s">
        <v>106</v>
      </c>
      <c r="F1" s="3" t="s">
        <v>104</v>
      </c>
      <c r="G1" s="4" t="s">
        <v>105</v>
      </c>
      <c r="I1" s="2" t="s">
        <v>106</v>
      </c>
      <c r="J1" s="3" t="s">
        <v>104</v>
      </c>
      <c r="K1" s="4" t="s">
        <v>105</v>
      </c>
      <c r="M1" s="2"/>
      <c r="N1" s="3"/>
      <c r="O1" s="3"/>
      <c r="P1" s="3"/>
      <c r="Q1" s="3" t="s">
        <v>106</v>
      </c>
      <c r="R1" s="3" t="s">
        <v>104</v>
      </c>
      <c r="S1" s="3" t="s">
        <v>105</v>
      </c>
      <c r="T1" s="4"/>
      <c r="V1" s="42" t="s">
        <v>213</v>
      </c>
      <c r="W1" s="43" t="s">
        <v>214</v>
      </c>
      <c r="Y1" t="s">
        <v>215</v>
      </c>
      <c r="Z1" t="s">
        <v>216</v>
      </c>
    </row>
    <row r="2" spans="1:26" x14ac:dyDescent="0.25">
      <c r="A2" s="7">
        <f ca="1">TODAY()-1</f>
        <v>46162</v>
      </c>
      <c r="B2" t="str">
        <f ca="1">LOOKUP($A$2, $A$6:$A$63, $B$6:$B$63)</f>
        <v>H26</v>
      </c>
      <c r="C2" s="8">
        <f ca="1">MATCH(B2, $B$6:$B$63, 0)</f>
        <v>3</v>
      </c>
      <c r="D2" s="15"/>
      <c r="E2" s="32">
        <f ca="1">TODAY()</f>
        <v>46163</v>
      </c>
      <c r="F2" t="str">
        <f ca="1">LOOKUP($E$2, $E$6:$E$63, $F$6:$F$63)</f>
        <v>H26</v>
      </c>
      <c r="G2" s="8">
        <f ca="1">MATCH(F2, $F$6:$F$63, 0)</f>
        <v>3</v>
      </c>
      <c r="I2" s="32">
        <f ca="1">TODAY()</f>
        <v>46163</v>
      </c>
      <c r="J2" t="str">
        <f ca="1">LOOKUP($I$2, $I$6:$I$125, $J$6:$J$125)</f>
        <v>K26</v>
      </c>
      <c r="K2" s="8">
        <f ca="1">MATCH(J2, $J$6:$J$125, 0)</f>
        <v>17</v>
      </c>
      <c r="M2" s="7"/>
      <c r="Q2">
        <f ca="1">TODAY()</f>
        <v>46163</v>
      </c>
      <c r="R2" t="str">
        <f ca="1">LOOKUP($Q$2, $Q$6:$Q$125, $R$6:$R$125)</f>
        <v>M26</v>
      </c>
      <c r="S2" s="8">
        <f ca="1">MATCH(R2, $R$6:$R$125, 0)</f>
        <v>18</v>
      </c>
      <c r="T2" s="8"/>
      <c r="V2" s="44"/>
      <c r="W2" s="8"/>
    </row>
    <row r="3" spans="1:26" x14ac:dyDescent="0.25">
      <c r="A3" s="7" t="s">
        <v>107</v>
      </c>
      <c r="C3" s="8"/>
      <c r="E3" s="7"/>
      <c r="G3" s="8"/>
      <c r="I3" s="7"/>
      <c r="K3" s="8"/>
      <c r="M3" s="7"/>
      <c r="P3" t="s">
        <v>207</v>
      </c>
      <c r="T3" s="8"/>
      <c r="V3" s="7" cm="1">
        <f t="array" ref="V3:V22">TRANSPOSE(MEETS_bg!$B$4:$U$4)</f>
        <v>46191</v>
      </c>
      <c r="W3" s="8" cm="1">
        <f t="array" ref="W3:W22">TRANSPOSE(MEETS_bg!$B$3:$U$3)</f>
        <v>46184</v>
      </c>
    </row>
    <row r="4" spans="1:26" x14ac:dyDescent="0.25">
      <c r="A4" s="33" t="s">
        <v>93</v>
      </c>
      <c r="B4" t="s">
        <v>92</v>
      </c>
      <c r="C4" s="8"/>
      <c r="D4" s="15"/>
      <c r="E4" s="33" t="s">
        <v>206</v>
      </c>
      <c r="F4" t="s">
        <v>0</v>
      </c>
      <c r="G4" s="8"/>
      <c r="I4" s="33" t="s">
        <v>90</v>
      </c>
      <c r="K4" s="8"/>
      <c r="L4" s="34"/>
      <c r="M4" s="33" t="s">
        <v>212</v>
      </c>
      <c r="T4" s="8"/>
      <c r="V4" s="7">
        <v>46233</v>
      </c>
      <c r="W4" s="8">
        <v>46226</v>
      </c>
    </row>
    <row r="5" spans="1:26" x14ac:dyDescent="0.25">
      <c r="A5" s="7" t="s">
        <v>108</v>
      </c>
      <c r="B5" t="s">
        <v>109</v>
      </c>
      <c r="C5" s="8" t="s">
        <v>110</v>
      </c>
      <c r="D5" s="15"/>
      <c r="E5" s="7" t="s">
        <v>108</v>
      </c>
      <c r="F5" t="s">
        <v>109</v>
      </c>
      <c r="G5" s="8" t="s">
        <v>110</v>
      </c>
      <c r="I5" s="7" t="s">
        <v>108</v>
      </c>
      <c r="J5" t="s">
        <v>109</v>
      </c>
      <c r="K5" s="8" t="s">
        <v>110</v>
      </c>
      <c r="L5" s="40"/>
      <c r="M5" s="7" t="s">
        <v>208</v>
      </c>
      <c r="N5" t="s">
        <v>209</v>
      </c>
      <c r="O5" t="s">
        <v>210</v>
      </c>
      <c r="P5" t="s">
        <v>211</v>
      </c>
      <c r="Q5" t="s">
        <v>108</v>
      </c>
      <c r="R5" t="s">
        <v>109</v>
      </c>
      <c r="S5" t="s">
        <v>110</v>
      </c>
      <c r="T5" s="8"/>
      <c r="V5" s="7">
        <v>46282</v>
      </c>
      <c r="W5" s="8">
        <v>46275</v>
      </c>
    </row>
    <row r="6" spans="1:26" x14ac:dyDescent="0.25">
      <c r="A6" s="7">
        <f t="shared" ref="A6:A63" si="0">(DATE(2000+RIGHT(B6,2),VLOOKUP(LEFT(B6,1),$A$71:$B$82,2),(2+MOD(10-WEEKDAY(DATE(2000+RIGHT(B6,2),VLOOKUP(LEFT(B6,1),$A$71:$B$82,2),1)),7))))+14</f>
        <v>45917</v>
      </c>
      <c r="B6" t="s">
        <v>111</v>
      </c>
      <c r="C6" s="8" t="str" cm="1">
        <f t="array" aca="1" ref="C6:C61" ca="1">_xlfn._xlws.FILTER( $B$6:$B$63, ROW( $B$6:$B$63) &gt;= $C$2+5, 0)</f>
        <v>H26</v>
      </c>
      <c r="D6" s="15"/>
      <c r="E6" s="32">
        <f t="shared" ref="E6:E63" si="1">(DATE(2000+RIGHT(F6,2),VLOOKUP(LEFT(F6,1),$E$71:$F$82,2),(2+MOD(10-WEEKDAY(DATE(2000+RIGHT(F6,2),VLOOKUP(LEFT(F6,1),$E$71:$F$82,2),1)),7))))+14</f>
        <v>45917</v>
      </c>
      <c r="F6" t="s">
        <v>111</v>
      </c>
      <c r="G6" s="8" t="str" cm="1">
        <f t="array" aca="1" ref="G6:G61" ca="1">_xlfn._xlws.FILTER( $F$6:$F$63, ROW( $F$6:$F$63) &gt;= $G$2+5, 0)</f>
        <v>H26</v>
      </c>
      <c r="I6" s="32">
        <f t="shared" ref="I6:I69" si="2">DATE(RIGHT(J6,2)+100, VLOOKUP(LEFT(J6,1), $I$130:$J$141, 2,0), 1)</f>
        <v>45658</v>
      </c>
      <c r="J6" t="s">
        <v>112</v>
      </c>
      <c r="K6" s="8" t="str" cm="1">
        <f t="array" aca="1" ref="K6:K109" ca="1">_xlfn._xlws.FILTER( $J$6:$J$125, ROW( $J$6:$J$125) &gt;= $K$2+5, 0)</f>
        <v>K26</v>
      </c>
      <c r="L6" s="40"/>
      <c r="M6" s="7">
        <f>MOD(VLOOKUP(LEFT(R6,1),$E$71:$G$82,2,0),12)+1</f>
        <v>2</v>
      </c>
      <c r="N6" t="str">
        <f t="shared" ref="N6:N37" si="3">IF(M6&gt;1, RIGHT(R6,2),RIGHT(R7,2))</f>
        <v>25</v>
      </c>
      <c r="O6">
        <f t="shared" ref="O6:O37" si="4">DATE(N6+100, M6, 1) + 14 + MOD(6 - WEEKDAY(DATE(N6+100, M6, 1)), 7)</f>
        <v>45709</v>
      </c>
      <c r="P6">
        <f t="shared" ref="P6:P37" si="5">O6-30</f>
        <v>45679</v>
      </c>
      <c r="Q6" t="e">
        <f t="shared" ref="Q6:Q37" si="6">P5+1</f>
        <v>#VALUE!</v>
      </c>
      <c r="R6" t="s">
        <v>112</v>
      </c>
      <c r="S6" t="str" cm="1">
        <f t="array" aca="1" ref="S6:S108" ca="1">_xlfn._xlws.FILTER( $R$6:$R$125, ROW( $R$6:$R$125) &gt;= $S$2+5, 0)</f>
        <v>M26</v>
      </c>
      <c r="T6" s="41" t="str">
        <f t="shared" ref="T6:T22" ca="1" si="7">VLOOKUP(LEFT(S6,1),$E$71:$G$82,3,0)&amp; RIGHT(S6,2)</f>
        <v>Jun26</v>
      </c>
      <c r="V6" s="7">
        <v>46331</v>
      </c>
      <c r="W6" s="8">
        <v>46324</v>
      </c>
    </row>
    <row r="7" spans="1:26" x14ac:dyDescent="0.25">
      <c r="A7" s="7">
        <f t="shared" si="0"/>
        <v>46008</v>
      </c>
      <c r="B7" t="s">
        <v>113</v>
      </c>
      <c r="C7" s="8" t="str">
        <f ca="1"/>
        <v>M26</v>
      </c>
      <c r="D7" s="15"/>
      <c r="E7" s="32">
        <f t="shared" si="1"/>
        <v>46008</v>
      </c>
      <c r="F7" t="s">
        <v>113</v>
      </c>
      <c r="G7" s="8" t="str">
        <f ca="1"/>
        <v>M26</v>
      </c>
      <c r="I7" s="32">
        <f t="shared" si="2"/>
        <v>45689</v>
      </c>
      <c r="J7" t="s">
        <v>114</v>
      </c>
      <c r="K7" s="8" t="str">
        <f ca="1"/>
        <v>M26</v>
      </c>
      <c r="L7" s="40"/>
      <c r="M7" s="7">
        <f t="shared" ref="M7:M70" si="8">MOD(VLOOKUP(LEFT(R7,1),$E$71:$G$82,2,0),12)+1</f>
        <v>3</v>
      </c>
      <c r="N7" t="str">
        <f t="shared" si="3"/>
        <v>25</v>
      </c>
      <c r="O7">
        <f t="shared" si="4"/>
        <v>45737</v>
      </c>
      <c r="P7">
        <f t="shared" si="5"/>
        <v>45707</v>
      </c>
      <c r="Q7">
        <f t="shared" si="6"/>
        <v>45680</v>
      </c>
      <c r="R7" t="s">
        <v>114</v>
      </c>
      <c r="S7" t="str">
        <f ca="1"/>
        <v>N26</v>
      </c>
      <c r="T7" s="41" t="str">
        <f t="shared" ca="1" si="7"/>
        <v>Jul26</v>
      </c>
      <c r="V7" s="7">
        <v>46373</v>
      </c>
      <c r="W7" s="8">
        <v>46373</v>
      </c>
    </row>
    <row r="8" spans="1:26" x14ac:dyDescent="0.25">
      <c r="A8" s="7">
        <f t="shared" si="0"/>
        <v>46099</v>
      </c>
      <c r="B8" t="s">
        <v>5</v>
      </c>
      <c r="C8" s="8" t="str">
        <f ca="1"/>
        <v>U26</v>
      </c>
      <c r="D8" s="15"/>
      <c r="E8" s="32">
        <f t="shared" si="1"/>
        <v>46099</v>
      </c>
      <c r="F8" t="s">
        <v>5</v>
      </c>
      <c r="G8" s="8" t="str">
        <f ca="1"/>
        <v>U26</v>
      </c>
      <c r="I8" s="32">
        <f t="shared" si="2"/>
        <v>45717</v>
      </c>
      <c r="J8" t="s">
        <v>115</v>
      </c>
      <c r="K8" s="8" t="str">
        <f ca="1"/>
        <v>N26</v>
      </c>
      <c r="L8" s="40"/>
      <c r="M8" s="7">
        <f t="shared" si="8"/>
        <v>4</v>
      </c>
      <c r="N8" t="str">
        <f t="shared" si="3"/>
        <v>25</v>
      </c>
      <c r="O8">
        <f t="shared" si="4"/>
        <v>45765</v>
      </c>
      <c r="P8">
        <f t="shared" si="5"/>
        <v>45735</v>
      </c>
      <c r="Q8">
        <f t="shared" si="6"/>
        <v>45708</v>
      </c>
      <c r="R8" t="s">
        <v>115</v>
      </c>
      <c r="S8" t="str">
        <f ca="1"/>
        <v>Q26</v>
      </c>
      <c r="T8" s="41" t="str">
        <f t="shared" ca="1" si="7"/>
        <v>Aug26</v>
      </c>
      <c r="V8" s="7">
        <v>46422</v>
      </c>
      <c r="W8" s="8">
        <v>46422</v>
      </c>
    </row>
    <row r="9" spans="1:26" x14ac:dyDescent="0.25">
      <c r="A9" s="7">
        <f t="shared" si="0"/>
        <v>46190</v>
      </c>
      <c r="B9" t="s">
        <v>9</v>
      </c>
      <c r="C9" s="8" t="str">
        <f ca="1"/>
        <v>Z26</v>
      </c>
      <c r="D9" s="15"/>
      <c r="E9" s="32">
        <f t="shared" si="1"/>
        <v>46190</v>
      </c>
      <c r="F9" t="s">
        <v>9</v>
      </c>
      <c r="G9" s="8" t="str">
        <f ca="1"/>
        <v>Z26</v>
      </c>
      <c r="I9" s="32">
        <f t="shared" si="2"/>
        <v>45748</v>
      </c>
      <c r="J9" t="s">
        <v>116</v>
      </c>
      <c r="K9" s="8" t="str">
        <f ca="1"/>
        <v>Q26</v>
      </c>
      <c r="L9" s="40"/>
      <c r="M9" s="7">
        <f t="shared" si="8"/>
        <v>5</v>
      </c>
      <c r="N9" t="str">
        <f t="shared" si="3"/>
        <v>25</v>
      </c>
      <c r="O9">
        <f t="shared" si="4"/>
        <v>45793</v>
      </c>
      <c r="P9">
        <f t="shared" si="5"/>
        <v>45763</v>
      </c>
      <c r="Q9">
        <f t="shared" si="6"/>
        <v>45736</v>
      </c>
      <c r="R9" t="s">
        <v>116</v>
      </c>
      <c r="S9" t="str">
        <f ca="1"/>
        <v>U26</v>
      </c>
      <c r="T9" s="41" t="str">
        <f t="shared" ca="1" si="7"/>
        <v>Sep26</v>
      </c>
      <c r="V9" s="7">
        <v>46464</v>
      </c>
      <c r="W9" s="8">
        <v>46464</v>
      </c>
    </row>
    <row r="10" spans="1:26" x14ac:dyDescent="0.25">
      <c r="A10" s="7">
        <f t="shared" si="0"/>
        <v>46281</v>
      </c>
      <c r="B10" t="s">
        <v>14</v>
      </c>
      <c r="C10" s="8" t="str">
        <f ca="1"/>
        <v>H27</v>
      </c>
      <c r="D10" s="15"/>
      <c r="E10" s="32">
        <f t="shared" si="1"/>
        <v>46281</v>
      </c>
      <c r="F10" t="s">
        <v>14</v>
      </c>
      <c r="G10" s="8" t="str">
        <f ca="1"/>
        <v>H27</v>
      </c>
      <c r="I10" s="32">
        <f t="shared" si="2"/>
        <v>45778</v>
      </c>
      <c r="J10" t="s">
        <v>117</v>
      </c>
      <c r="K10" s="8" t="str">
        <f ca="1"/>
        <v>U26</v>
      </c>
      <c r="L10" s="40"/>
      <c r="M10" s="7">
        <f t="shared" si="8"/>
        <v>6</v>
      </c>
      <c r="N10" t="str">
        <f t="shared" si="3"/>
        <v>25</v>
      </c>
      <c r="O10">
        <f t="shared" si="4"/>
        <v>45828</v>
      </c>
      <c r="P10">
        <f t="shared" si="5"/>
        <v>45798</v>
      </c>
      <c r="Q10">
        <f t="shared" si="6"/>
        <v>45764</v>
      </c>
      <c r="R10" t="s">
        <v>117</v>
      </c>
      <c r="S10" t="str">
        <f ca="1"/>
        <v>V26</v>
      </c>
      <c r="T10" s="41" t="str">
        <f t="shared" ca="1" si="7"/>
        <v>Oct26</v>
      </c>
      <c r="V10" s="7">
        <v>46506</v>
      </c>
      <c r="W10" s="8">
        <v>46506</v>
      </c>
    </row>
    <row r="11" spans="1:26" x14ac:dyDescent="0.25">
      <c r="A11" s="7">
        <f t="shared" si="0"/>
        <v>46372</v>
      </c>
      <c r="B11" t="s">
        <v>18</v>
      </c>
      <c r="C11" s="8" t="str">
        <f ca="1"/>
        <v>M27</v>
      </c>
      <c r="D11" s="15"/>
      <c r="E11" s="32">
        <f t="shared" si="1"/>
        <v>46372</v>
      </c>
      <c r="F11" t="s">
        <v>18</v>
      </c>
      <c r="G11" s="8" t="str">
        <f ca="1"/>
        <v>M27</v>
      </c>
      <c r="I11" s="32">
        <f t="shared" si="2"/>
        <v>45809</v>
      </c>
      <c r="J11" t="s">
        <v>118</v>
      </c>
      <c r="K11" s="8" t="str">
        <f ca="1"/>
        <v>V26</v>
      </c>
      <c r="L11" s="40"/>
      <c r="M11" s="7">
        <f t="shared" si="8"/>
        <v>7</v>
      </c>
      <c r="N11" t="str">
        <f t="shared" si="3"/>
        <v>25</v>
      </c>
      <c r="O11">
        <f t="shared" si="4"/>
        <v>45856</v>
      </c>
      <c r="P11">
        <f t="shared" si="5"/>
        <v>45826</v>
      </c>
      <c r="Q11">
        <f t="shared" si="6"/>
        <v>45799</v>
      </c>
      <c r="R11" t="s">
        <v>118</v>
      </c>
      <c r="S11" t="str">
        <f ca="1"/>
        <v>X26</v>
      </c>
      <c r="T11" s="41" t="str">
        <f t="shared" ca="1" si="7"/>
        <v>Nov26</v>
      </c>
      <c r="V11" s="7">
        <v>46555</v>
      </c>
      <c r="W11" s="8">
        <v>46548</v>
      </c>
    </row>
    <row r="12" spans="1:26" x14ac:dyDescent="0.25">
      <c r="A12" s="7">
        <f t="shared" si="0"/>
        <v>46463</v>
      </c>
      <c r="B12" t="s">
        <v>22</v>
      </c>
      <c r="C12" s="8" t="str">
        <f ca="1"/>
        <v>U27</v>
      </c>
      <c r="D12" s="15"/>
      <c r="E12" s="32">
        <f t="shared" si="1"/>
        <v>46463</v>
      </c>
      <c r="F12" t="s">
        <v>22</v>
      </c>
      <c r="G12" s="8" t="str">
        <f ca="1"/>
        <v>U27</v>
      </c>
      <c r="I12" s="32">
        <f t="shared" si="2"/>
        <v>45839</v>
      </c>
      <c r="J12" t="s">
        <v>119</v>
      </c>
      <c r="K12" s="8" t="str">
        <f ca="1"/>
        <v>X26</v>
      </c>
      <c r="L12" s="40"/>
      <c r="M12" s="7">
        <f t="shared" si="8"/>
        <v>8</v>
      </c>
      <c r="N12" t="str">
        <f t="shared" si="3"/>
        <v>25</v>
      </c>
      <c r="O12">
        <f t="shared" si="4"/>
        <v>45884</v>
      </c>
      <c r="P12">
        <f t="shared" si="5"/>
        <v>45854</v>
      </c>
      <c r="Q12">
        <f t="shared" si="6"/>
        <v>45827</v>
      </c>
      <c r="R12" t="s">
        <v>119</v>
      </c>
      <c r="S12" t="str">
        <f ca="1"/>
        <v>Z26</v>
      </c>
      <c r="T12" s="41" t="str">
        <f t="shared" ca="1" si="7"/>
        <v>Dec26</v>
      </c>
      <c r="V12" s="7">
        <v>46597</v>
      </c>
      <c r="W12" s="8">
        <v>46225</v>
      </c>
    </row>
    <row r="13" spans="1:26" x14ac:dyDescent="0.25">
      <c r="A13" s="7">
        <f t="shared" si="0"/>
        <v>46554</v>
      </c>
      <c r="B13" t="s">
        <v>26</v>
      </c>
      <c r="C13" s="8" t="str">
        <f ca="1"/>
        <v>Z27</v>
      </c>
      <c r="D13" s="15"/>
      <c r="E13" s="32">
        <f t="shared" si="1"/>
        <v>46554</v>
      </c>
      <c r="F13" t="s">
        <v>26</v>
      </c>
      <c r="G13" s="8" t="str">
        <f ca="1"/>
        <v>Z27</v>
      </c>
      <c r="I13" s="32">
        <f t="shared" si="2"/>
        <v>45870</v>
      </c>
      <c r="J13" t="s">
        <v>120</v>
      </c>
      <c r="K13" s="8" t="str">
        <f ca="1"/>
        <v>Z26</v>
      </c>
      <c r="L13" s="11"/>
      <c r="M13" s="7">
        <f t="shared" si="8"/>
        <v>9</v>
      </c>
      <c r="N13" t="str">
        <f t="shared" si="3"/>
        <v>25</v>
      </c>
      <c r="O13">
        <f t="shared" si="4"/>
        <v>45919</v>
      </c>
      <c r="P13">
        <f t="shared" si="5"/>
        <v>45889</v>
      </c>
      <c r="Q13">
        <f t="shared" si="6"/>
        <v>45855</v>
      </c>
      <c r="R13" t="s">
        <v>120</v>
      </c>
      <c r="S13" t="str">
        <f ca="1"/>
        <v>F27</v>
      </c>
      <c r="T13" s="41" t="str">
        <f t="shared" ca="1" si="7"/>
        <v>Jan27</v>
      </c>
      <c r="V13" s="7">
        <v>46646</v>
      </c>
      <c r="W13" s="8">
        <v>46639</v>
      </c>
    </row>
    <row r="14" spans="1:26" x14ac:dyDescent="0.25">
      <c r="A14" s="7">
        <f t="shared" si="0"/>
        <v>46652</v>
      </c>
      <c r="B14" t="s">
        <v>29</v>
      </c>
      <c r="C14" s="8" t="str">
        <f ca="1"/>
        <v>H28</v>
      </c>
      <c r="D14" s="15"/>
      <c r="E14" s="32">
        <f t="shared" si="1"/>
        <v>46652</v>
      </c>
      <c r="F14" t="s">
        <v>29</v>
      </c>
      <c r="G14" s="8" t="str">
        <f ca="1"/>
        <v>H28</v>
      </c>
      <c r="I14" s="32">
        <f t="shared" si="2"/>
        <v>45901</v>
      </c>
      <c r="J14" t="s">
        <v>111</v>
      </c>
      <c r="K14" s="8" t="str">
        <f ca="1"/>
        <v>F27</v>
      </c>
      <c r="L14" s="11"/>
      <c r="M14" s="7">
        <f t="shared" si="8"/>
        <v>10</v>
      </c>
      <c r="N14" t="str">
        <f t="shared" si="3"/>
        <v>25</v>
      </c>
      <c r="O14">
        <f t="shared" si="4"/>
        <v>45947</v>
      </c>
      <c r="P14">
        <f t="shared" si="5"/>
        <v>45917</v>
      </c>
      <c r="Q14">
        <f t="shared" si="6"/>
        <v>45890</v>
      </c>
      <c r="R14" t="s">
        <v>111</v>
      </c>
      <c r="S14" t="str">
        <f ca="1"/>
        <v>G27</v>
      </c>
      <c r="T14" s="41" t="str">
        <f t="shared" ca="1" si="7"/>
        <v>Feb27</v>
      </c>
      <c r="V14" s="7">
        <v>46695</v>
      </c>
      <c r="W14" s="8">
        <v>46688</v>
      </c>
    </row>
    <row r="15" spans="1:26" x14ac:dyDescent="0.25">
      <c r="A15" s="7">
        <f t="shared" si="0"/>
        <v>46743</v>
      </c>
      <c r="B15" t="s">
        <v>34</v>
      </c>
      <c r="C15" s="8" t="str">
        <f ca="1"/>
        <v>M28</v>
      </c>
      <c r="D15" s="15"/>
      <c r="E15" s="32">
        <f t="shared" si="1"/>
        <v>46743</v>
      </c>
      <c r="F15" t="s">
        <v>34</v>
      </c>
      <c r="G15" s="8" t="str">
        <f ca="1"/>
        <v>M28</v>
      </c>
      <c r="I15" s="32">
        <f t="shared" si="2"/>
        <v>45931</v>
      </c>
      <c r="J15" t="s">
        <v>121</v>
      </c>
      <c r="K15" s="8" t="str">
        <f ca="1"/>
        <v>G27</v>
      </c>
      <c r="L15" s="11"/>
      <c r="M15" s="7">
        <f t="shared" si="8"/>
        <v>11</v>
      </c>
      <c r="N15" t="str">
        <f t="shared" si="3"/>
        <v>25</v>
      </c>
      <c r="O15">
        <f t="shared" si="4"/>
        <v>45982</v>
      </c>
      <c r="P15">
        <f t="shared" si="5"/>
        <v>45952</v>
      </c>
      <c r="Q15">
        <f t="shared" si="6"/>
        <v>45918</v>
      </c>
      <c r="R15" t="s">
        <v>121</v>
      </c>
      <c r="S15" t="str">
        <f ca="1"/>
        <v>H27</v>
      </c>
      <c r="T15" s="41" t="str">
        <f t="shared" ca="1" si="7"/>
        <v>Mar27</v>
      </c>
      <c r="V15" s="7">
        <v>46737</v>
      </c>
      <c r="W15" s="8">
        <v>46737</v>
      </c>
    </row>
    <row r="16" spans="1:26" x14ac:dyDescent="0.25">
      <c r="A16" s="7">
        <f t="shared" si="0"/>
        <v>46834</v>
      </c>
      <c r="B16" t="s">
        <v>39</v>
      </c>
      <c r="C16" s="8" t="str">
        <f ca="1"/>
        <v>U28</v>
      </c>
      <c r="D16" s="15"/>
      <c r="E16" s="32">
        <f t="shared" si="1"/>
        <v>46834</v>
      </c>
      <c r="F16" t="s">
        <v>39</v>
      </c>
      <c r="G16" s="8" t="str">
        <f ca="1"/>
        <v>U28</v>
      </c>
      <c r="I16" s="32">
        <f t="shared" si="2"/>
        <v>45962</v>
      </c>
      <c r="J16" t="s">
        <v>122</v>
      </c>
      <c r="K16" s="8" t="str">
        <f ca="1"/>
        <v>H27</v>
      </c>
      <c r="L16" s="11"/>
      <c r="M16" s="7">
        <f t="shared" si="8"/>
        <v>12</v>
      </c>
      <c r="N16" t="str">
        <f t="shared" si="3"/>
        <v>25</v>
      </c>
      <c r="O16">
        <f t="shared" si="4"/>
        <v>46010</v>
      </c>
      <c r="P16">
        <f t="shared" si="5"/>
        <v>45980</v>
      </c>
      <c r="Q16">
        <f t="shared" si="6"/>
        <v>45953</v>
      </c>
      <c r="R16" t="s">
        <v>122</v>
      </c>
      <c r="S16" t="str">
        <f ca="1"/>
        <v>J27</v>
      </c>
      <c r="T16" s="41" t="str">
        <f t="shared" ca="1" si="7"/>
        <v>Apr27</v>
      </c>
      <c r="V16" s="7">
        <v>0</v>
      </c>
      <c r="W16" s="8">
        <v>46786</v>
      </c>
    </row>
    <row r="17" spans="1:23" x14ac:dyDescent="0.25">
      <c r="A17" s="7">
        <f t="shared" si="0"/>
        <v>46925</v>
      </c>
      <c r="B17" t="s">
        <v>42</v>
      </c>
      <c r="C17" s="8" t="str">
        <f ca="1"/>
        <v>Z28</v>
      </c>
      <c r="D17" s="15"/>
      <c r="E17" s="32">
        <f t="shared" si="1"/>
        <v>46925</v>
      </c>
      <c r="F17" t="s">
        <v>42</v>
      </c>
      <c r="G17" s="8" t="str">
        <f ca="1"/>
        <v>Z28</v>
      </c>
      <c r="I17" s="32">
        <f t="shared" si="2"/>
        <v>45992</v>
      </c>
      <c r="J17" t="s">
        <v>113</v>
      </c>
      <c r="K17" s="8" t="str">
        <f ca="1"/>
        <v>J27</v>
      </c>
      <c r="L17" s="11"/>
      <c r="M17" s="7">
        <f t="shared" si="8"/>
        <v>1</v>
      </c>
      <c r="N17" t="str">
        <f t="shared" si="3"/>
        <v>26</v>
      </c>
      <c r="O17">
        <f t="shared" si="4"/>
        <v>46038</v>
      </c>
      <c r="P17">
        <f t="shared" si="5"/>
        <v>46008</v>
      </c>
      <c r="Q17">
        <f t="shared" si="6"/>
        <v>45981</v>
      </c>
      <c r="R17" t="s">
        <v>113</v>
      </c>
      <c r="S17" t="str">
        <f ca="1"/>
        <v>K27</v>
      </c>
      <c r="T17" s="41" t="str">
        <f t="shared" ca="1" si="7"/>
        <v>May27</v>
      </c>
      <c r="V17" s="7">
        <v>0</v>
      </c>
      <c r="W17" s="8">
        <v>46835</v>
      </c>
    </row>
    <row r="18" spans="1:23" x14ac:dyDescent="0.25">
      <c r="A18" s="7">
        <f t="shared" si="0"/>
        <v>47016</v>
      </c>
      <c r="B18" t="s">
        <v>47</v>
      </c>
      <c r="C18" s="8" t="str">
        <f ca="1"/>
        <v>H29</v>
      </c>
      <c r="D18" s="15"/>
      <c r="E18" s="32">
        <f t="shared" si="1"/>
        <v>47016</v>
      </c>
      <c r="F18" t="s">
        <v>47</v>
      </c>
      <c r="G18" s="8" t="str">
        <f ca="1"/>
        <v>H29</v>
      </c>
      <c r="I18" s="32">
        <f t="shared" si="2"/>
        <v>46023</v>
      </c>
      <c r="J18" t="s">
        <v>123</v>
      </c>
      <c r="K18" s="8" t="str">
        <f ca="1"/>
        <v>K27</v>
      </c>
      <c r="L18" s="11"/>
      <c r="M18" s="7">
        <f t="shared" si="8"/>
        <v>2</v>
      </c>
      <c r="N18" t="str">
        <f t="shared" si="3"/>
        <v>26</v>
      </c>
      <c r="O18">
        <f t="shared" si="4"/>
        <v>46073</v>
      </c>
      <c r="P18">
        <f t="shared" si="5"/>
        <v>46043</v>
      </c>
      <c r="Q18">
        <f t="shared" si="6"/>
        <v>46009</v>
      </c>
      <c r="R18" t="s">
        <v>123</v>
      </c>
      <c r="S18" t="str">
        <f ca="1"/>
        <v>M27</v>
      </c>
      <c r="T18" s="41" t="str">
        <f t="shared" ca="1" si="7"/>
        <v>Jun27</v>
      </c>
      <c r="V18" s="7">
        <v>0</v>
      </c>
      <c r="W18" s="8">
        <v>46877</v>
      </c>
    </row>
    <row r="19" spans="1:23" x14ac:dyDescent="0.25">
      <c r="A19" s="7">
        <f t="shared" si="0"/>
        <v>47107</v>
      </c>
      <c r="B19" t="s">
        <v>51</v>
      </c>
      <c r="C19" s="8" t="str">
        <f ca="1"/>
        <v>M29</v>
      </c>
      <c r="D19" s="15"/>
      <c r="E19" s="32">
        <f t="shared" si="1"/>
        <v>47107</v>
      </c>
      <c r="F19" t="s">
        <v>51</v>
      </c>
      <c r="G19" s="8" t="str">
        <f ca="1"/>
        <v>M29</v>
      </c>
      <c r="I19" s="32">
        <f t="shared" si="2"/>
        <v>46054</v>
      </c>
      <c r="J19" t="s">
        <v>124</v>
      </c>
      <c r="K19" s="8" t="str">
        <f ca="1"/>
        <v>M27</v>
      </c>
      <c r="L19" s="11"/>
      <c r="M19" s="7">
        <f t="shared" si="8"/>
        <v>3</v>
      </c>
      <c r="N19" t="str">
        <f t="shared" si="3"/>
        <v>26</v>
      </c>
      <c r="O19">
        <f t="shared" si="4"/>
        <v>46101</v>
      </c>
      <c r="P19">
        <f t="shared" si="5"/>
        <v>46071</v>
      </c>
      <c r="Q19">
        <f t="shared" si="6"/>
        <v>46044</v>
      </c>
      <c r="R19" t="s">
        <v>124</v>
      </c>
      <c r="S19" t="str">
        <f ca="1"/>
        <v>N27</v>
      </c>
      <c r="T19" s="41" t="str">
        <f t="shared" ca="1" si="7"/>
        <v>Jul27</v>
      </c>
      <c r="V19" s="7">
        <v>0</v>
      </c>
      <c r="W19" s="8">
        <v>46912</v>
      </c>
    </row>
    <row r="20" spans="1:23" x14ac:dyDescent="0.25">
      <c r="A20" s="7">
        <f t="shared" si="0"/>
        <v>47198</v>
      </c>
      <c r="B20" t="s">
        <v>52</v>
      </c>
      <c r="C20" s="8" t="str">
        <f ca="1"/>
        <v>U29</v>
      </c>
      <c r="D20" s="15"/>
      <c r="E20" s="32">
        <f t="shared" si="1"/>
        <v>47198</v>
      </c>
      <c r="F20" t="s">
        <v>52</v>
      </c>
      <c r="G20" s="8" t="str">
        <f ca="1"/>
        <v>U29</v>
      </c>
      <c r="I20" s="32">
        <f t="shared" si="2"/>
        <v>46082</v>
      </c>
      <c r="J20" t="s">
        <v>5</v>
      </c>
      <c r="K20" s="8" t="str">
        <f ca="1"/>
        <v>N27</v>
      </c>
      <c r="L20" s="11"/>
      <c r="M20" s="7">
        <f t="shared" si="8"/>
        <v>4</v>
      </c>
      <c r="N20" t="str">
        <f t="shared" si="3"/>
        <v>26</v>
      </c>
      <c r="O20">
        <f t="shared" si="4"/>
        <v>46129</v>
      </c>
      <c r="P20">
        <f t="shared" si="5"/>
        <v>46099</v>
      </c>
      <c r="Q20">
        <f t="shared" si="6"/>
        <v>46072</v>
      </c>
      <c r="R20" t="s">
        <v>5</v>
      </c>
      <c r="S20" t="str">
        <f ca="1"/>
        <v>Q27</v>
      </c>
      <c r="T20" s="41" t="str">
        <f t="shared" ca="1" si="7"/>
        <v>Aug27</v>
      </c>
      <c r="V20" s="7">
        <v>0</v>
      </c>
      <c r="W20" s="8">
        <v>46954</v>
      </c>
    </row>
    <row r="21" spans="1:23" x14ac:dyDescent="0.25">
      <c r="A21" s="7">
        <f t="shared" si="0"/>
        <v>47289</v>
      </c>
      <c r="B21" t="s">
        <v>54</v>
      </c>
      <c r="C21" s="8" t="str">
        <f ca="1"/>
        <v>Z29</v>
      </c>
      <c r="D21" s="15"/>
      <c r="E21" s="32">
        <f t="shared" si="1"/>
        <v>47289</v>
      </c>
      <c r="F21" t="s">
        <v>54</v>
      </c>
      <c r="G21" s="8" t="str">
        <f ca="1"/>
        <v>Z29</v>
      </c>
      <c r="I21" s="32">
        <f t="shared" si="2"/>
        <v>46113</v>
      </c>
      <c r="J21" t="s">
        <v>6</v>
      </c>
      <c r="K21" s="8" t="str">
        <f ca="1"/>
        <v>Q27</v>
      </c>
      <c r="L21" s="11"/>
      <c r="M21" s="7">
        <f t="shared" si="8"/>
        <v>5</v>
      </c>
      <c r="N21" t="str">
        <f t="shared" si="3"/>
        <v>26</v>
      </c>
      <c r="O21">
        <f t="shared" si="4"/>
        <v>46157</v>
      </c>
      <c r="P21">
        <f t="shared" si="5"/>
        <v>46127</v>
      </c>
      <c r="Q21">
        <f t="shared" si="6"/>
        <v>46100</v>
      </c>
      <c r="R21" t="s">
        <v>6</v>
      </c>
      <c r="S21" t="str">
        <f ca="1"/>
        <v>U27</v>
      </c>
      <c r="T21" s="41" t="str">
        <f t="shared" ca="1" si="7"/>
        <v>Sep27</v>
      </c>
      <c r="V21" s="7">
        <v>0</v>
      </c>
      <c r="W21" s="8">
        <v>47003</v>
      </c>
    </row>
    <row r="22" spans="1:23" x14ac:dyDescent="0.25">
      <c r="A22" s="7">
        <f t="shared" si="0"/>
        <v>47380</v>
      </c>
      <c r="B22" t="s">
        <v>57</v>
      </c>
      <c r="C22" s="8" t="str">
        <f ca="1"/>
        <v>H30</v>
      </c>
      <c r="D22" s="15"/>
      <c r="E22" s="32">
        <f t="shared" si="1"/>
        <v>47380</v>
      </c>
      <c r="F22" t="s">
        <v>57</v>
      </c>
      <c r="G22" s="8" t="str">
        <f ca="1"/>
        <v>H30</v>
      </c>
      <c r="I22" s="32">
        <f t="shared" si="2"/>
        <v>46143</v>
      </c>
      <c r="J22" t="s">
        <v>10</v>
      </c>
      <c r="K22" s="8" t="str">
        <f ca="1"/>
        <v>U27</v>
      </c>
      <c r="L22" s="11"/>
      <c r="M22" s="7">
        <f t="shared" si="8"/>
        <v>6</v>
      </c>
      <c r="N22" t="str">
        <f t="shared" si="3"/>
        <v>26</v>
      </c>
      <c r="O22">
        <f t="shared" si="4"/>
        <v>46192</v>
      </c>
      <c r="P22">
        <f t="shared" si="5"/>
        <v>46162</v>
      </c>
      <c r="Q22">
        <f t="shared" si="6"/>
        <v>46128</v>
      </c>
      <c r="R22" t="s">
        <v>10</v>
      </c>
      <c r="S22" t="str">
        <f ca="1"/>
        <v>V27</v>
      </c>
      <c r="T22" s="41" t="str">
        <f t="shared" ca="1" si="7"/>
        <v>Oct27</v>
      </c>
      <c r="V22" s="7">
        <v>0</v>
      </c>
      <c r="W22" s="8">
        <v>47038</v>
      </c>
    </row>
    <row r="23" spans="1:23" x14ac:dyDescent="0.25">
      <c r="A23" s="7">
        <f t="shared" si="0"/>
        <v>47471</v>
      </c>
      <c r="B23" t="s">
        <v>58</v>
      </c>
      <c r="C23" s="8" t="str">
        <f ca="1"/>
        <v>M30</v>
      </c>
      <c r="D23" s="15"/>
      <c r="E23" s="32">
        <f t="shared" si="1"/>
        <v>47471</v>
      </c>
      <c r="F23" t="s">
        <v>58</v>
      </c>
      <c r="G23" s="8" t="str">
        <f ca="1"/>
        <v>M30</v>
      </c>
      <c r="I23" s="32">
        <f t="shared" si="2"/>
        <v>46174</v>
      </c>
      <c r="J23" t="s">
        <v>9</v>
      </c>
      <c r="K23" s="8" t="str">
        <f ca="1"/>
        <v>V27</v>
      </c>
      <c r="L23" s="11"/>
      <c r="M23" s="7">
        <f t="shared" si="8"/>
        <v>7</v>
      </c>
      <c r="N23" t="str">
        <f t="shared" si="3"/>
        <v>26</v>
      </c>
      <c r="O23">
        <f t="shared" si="4"/>
        <v>46220</v>
      </c>
      <c r="P23">
        <f t="shared" si="5"/>
        <v>46190</v>
      </c>
      <c r="Q23">
        <f t="shared" si="6"/>
        <v>46163</v>
      </c>
      <c r="R23" t="s">
        <v>9</v>
      </c>
      <c r="S23" t="str">
        <f ca="1"/>
        <v>X27</v>
      </c>
      <c r="T23" s="8"/>
      <c r="V23" s="7"/>
      <c r="W23" s="8"/>
    </row>
    <row r="24" spans="1:23" x14ac:dyDescent="0.25">
      <c r="A24" s="7">
        <f t="shared" si="0"/>
        <v>47562</v>
      </c>
      <c r="B24" t="s">
        <v>60</v>
      </c>
      <c r="C24" s="8" t="str">
        <f ca="1"/>
        <v>U30</v>
      </c>
      <c r="D24" s="15"/>
      <c r="E24" s="32">
        <f t="shared" si="1"/>
        <v>47562</v>
      </c>
      <c r="F24" t="s">
        <v>60</v>
      </c>
      <c r="G24" s="8" t="str">
        <f ca="1"/>
        <v>U30</v>
      </c>
      <c r="I24" s="32">
        <f t="shared" si="2"/>
        <v>46204</v>
      </c>
      <c r="J24" t="s">
        <v>19</v>
      </c>
      <c r="K24" s="8" t="str">
        <f ca="1"/>
        <v>X27</v>
      </c>
      <c r="L24" s="11"/>
      <c r="M24" s="7">
        <f t="shared" si="8"/>
        <v>8</v>
      </c>
      <c r="N24" t="str">
        <f t="shared" si="3"/>
        <v>26</v>
      </c>
      <c r="O24">
        <f t="shared" si="4"/>
        <v>46255</v>
      </c>
      <c r="P24">
        <f t="shared" si="5"/>
        <v>46225</v>
      </c>
      <c r="Q24">
        <f t="shared" si="6"/>
        <v>46191</v>
      </c>
      <c r="R24" t="s">
        <v>19</v>
      </c>
      <c r="S24" t="str">
        <f ca="1"/>
        <v>Z27</v>
      </c>
      <c r="T24" s="8"/>
      <c r="V24" s="7"/>
      <c r="W24" s="8"/>
    </row>
    <row r="25" spans="1:23" x14ac:dyDescent="0.25">
      <c r="A25" s="7">
        <f t="shared" si="0"/>
        <v>47653</v>
      </c>
      <c r="B25" t="s">
        <v>62</v>
      </c>
      <c r="C25" s="8" t="str">
        <f ca="1"/>
        <v>Z30</v>
      </c>
      <c r="D25" s="15"/>
      <c r="E25" s="32">
        <f t="shared" si="1"/>
        <v>47653</v>
      </c>
      <c r="F25" t="s">
        <v>62</v>
      </c>
      <c r="G25" s="8" t="str">
        <f ca="1"/>
        <v>Z30</v>
      </c>
      <c r="I25" s="32">
        <f t="shared" si="2"/>
        <v>46235</v>
      </c>
      <c r="J25" t="s">
        <v>23</v>
      </c>
      <c r="K25" s="8" t="str">
        <f ca="1"/>
        <v>Z27</v>
      </c>
      <c r="L25" s="11"/>
      <c r="M25" s="7">
        <f t="shared" si="8"/>
        <v>9</v>
      </c>
      <c r="N25" t="str">
        <f t="shared" si="3"/>
        <v>26</v>
      </c>
      <c r="O25">
        <f t="shared" si="4"/>
        <v>46283</v>
      </c>
      <c r="P25">
        <f t="shared" si="5"/>
        <v>46253</v>
      </c>
      <c r="Q25">
        <f t="shared" si="6"/>
        <v>46226</v>
      </c>
      <c r="R25" t="s">
        <v>23</v>
      </c>
      <c r="S25" t="str">
        <f ca="1"/>
        <v>F28</v>
      </c>
      <c r="T25" s="8"/>
      <c r="V25" s="44" t="str">
        <f>VLOOKUP(MONTH(V3),$F$71:$H$82,3,0) &amp; MOD(YEAR(V3),100)</f>
        <v>M26</v>
      </c>
      <c r="W25" s="45" t="str">
        <f>VLOOKUP(MONTH(W3),$F$71:$H$82,3,0) &amp; MOD(YEAR(W3),100)</f>
        <v>M26</v>
      </c>
    </row>
    <row r="26" spans="1:23" x14ac:dyDescent="0.25">
      <c r="A26" s="7">
        <f t="shared" si="0"/>
        <v>47744</v>
      </c>
      <c r="B26" t="s">
        <v>63</v>
      </c>
      <c r="C26" s="8" t="str">
        <f ca="1"/>
        <v>H31</v>
      </c>
      <c r="D26" s="15"/>
      <c r="E26" s="32">
        <f t="shared" si="1"/>
        <v>47744</v>
      </c>
      <c r="F26" t="s">
        <v>63</v>
      </c>
      <c r="G26" s="8" t="str">
        <f ca="1"/>
        <v>H31</v>
      </c>
      <c r="I26" s="32">
        <f t="shared" si="2"/>
        <v>46266</v>
      </c>
      <c r="J26" t="s">
        <v>14</v>
      </c>
      <c r="K26" s="8" t="str">
        <f ca="1"/>
        <v>F28</v>
      </c>
      <c r="L26" s="11"/>
      <c r="M26" s="7">
        <f t="shared" si="8"/>
        <v>10</v>
      </c>
      <c r="N26" t="str">
        <f t="shared" si="3"/>
        <v>26</v>
      </c>
      <c r="O26">
        <f t="shared" si="4"/>
        <v>46311</v>
      </c>
      <c r="P26">
        <f t="shared" si="5"/>
        <v>46281</v>
      </c>
      <c r="Q26">
        <f t="shared" si="6"/>
        <v>46254</v>
      </c>
      <c r="R26" t="s">
        <v>14</v>
      </c>
      <c r="S26" t="str">
        <f ca="1"/>
        <v>G28</v>
      </c>
      <c r="T26" s="8"/>
      <c r="V26" s="44" t="str">
        <f t="shared" ref="V26:W44" si="9">VLOOKUP(MONTH(V4),$F$71:$H$82,3,0) &amp; MOD(YEAR(V4),100)</f>
        <v>N26</v>
      </c>
      <c r="W26" s="45" t="str">
        <f t="shared" si="9"/>
        <v>N26</v>
      </c>
    </row>
    <row r="27" spans="1:23" x14ac:dyDescent="0.25">
      <c r="A27" s="7">
        <f t="shared" si="0"/>
        <v>47835</v>
      </c>
      <c r="B27" t="s">
        <v>66</v>
      </c>
      <c r="C27" s="8" t="str">
        <f ca="1"/>
        <v>M31</v>
      </c>
      <c r="D27" s="15"/>
      <c r="E27" s="32">
        <f t="shared" si="1"/>
        <v>47835</v>
      </c>
      <c r="F27" t="s">
        <v>66</v>
      </c>
      <c r="G27" s="8" t="str">
        <f ca="1"/>
        <v>M31</v>
      </c>
      <c r="I27" s="32">
        <f t="shared" si="2"/>
        <v>46296</v>
      </c>
      <c r="J27" t="s">
        <v>30</v>
      </c>
      <c r="K27" s="8" t="str">
        <f ca="1"/>
        <v>G28</v>
      </c>
      <c r="L27" s="11"/>
      <c r="M27" s="7">
        <f t="shared" si="8"/>
        <v>11</v>
      </c>
      <c r="N27" t="str">
        <f t="shared" si="3"/>
        <v>26</v>
      </c>
      <c r="O27">
        <f t="shared" si="4"/>
        <v>46346</v>
      </c>
      <c r="P27">
        <f t="shared" si="5"/>
        <v>46316</v>
      </c>
      <c r="Q27">
        <f t="shared" si="6"/>
        <v>46282</v>
      </c>
      <c r="R27" t="s">
        <v>30</v>
      </c>
      <c r="S27" t="str">
        <f ca="1"/>
        <v>H28</v>
      </c>
      <c r="T27" s="8"/>
      <c r="V27" s="44" t="str">
        <f t="shared" si="9"/>
        <v>U26</v>
      </c>
      <c r="W27" s="45" t="str">
        <f t="shared" si="9"/>
        <v>U26</v>
      </c>
    </row>
    <row r="28" spans="1:23" x14ac:dyDescent="0.25">
      <c r="A28" s="7">
        <f t="shared" si="0"/>
        <v>47926</v>
      </c>
      <c r="B28" t="s">
        <v>68</v>
      </c>
      <c r="C28" s="8" t="str">
        <f ca="1"/>
        <v>U31</v>
      </c>
      <c r="D28" s="15"/>
      <c r="E28" s="32">
        <f t="shared" si="1"/>
        <v>47926</v>
      </c>
      <c r="F28" t="s">
        <v>68</v>
      </c>
      <c r="G28" s="8" t="str">
        <f ca="1"/>
        <v>U31</v>
      </c>
      <c r="I28" s="32">
        <f t="shared" si="2"/>
        <v>46327</v>
      </c>
      <c r="J28" t="s">
        <v>35</v>
      </c>
      <c r="K28" s="8" t="str">
        <f ca="1"/>
        <v>H28</v>
      </c>
      <c r="L28" s="11"/>
      <c r="M28" s="7">
        <f t="shared" si="8"/>
        <v>12</v>
      </c>
      <c r="N28" t="str">
        <f t="shared" si="3"/>
        <v>26</v>
      </c>
      <c r="O28">
        <f t="shared" si="4"/>
        <v>46374</v>
      </c>
      <c r="P28">
        <f t="shared" si="5"/>
        <v>46344</v>
      </c>
      <c r="Q28">
        <f t="shared" si="6"/>
        <v>46317</v>
      </c>
      <c r="R28" t="s">
        <v>35</v>
      </c>
      <c r="S28" t="str">
        <f ca="1"/>
        <v>J28</v>
      </c>
      <c r="T28" s="8"/>
      <c r="V28" s="44" t="str">
        <f t="shared" si="9"/>
        <v>X26</v>
      </c>
      <c r="W28" s="45" t="str">
        <f t="shared" si="9"/>
        <v>V26</v>
      </c>
    </row>
    <row r="29" spans="1:23" x14ac:dyDescent="0.25">
      <c r="A29" s="7">
        <f t="shared" si="0"/>
        <v>48017</v>
      </c>
      <c r="B29" t="s">
        <v>69</v>
      </c>
      <c r="C29" s="8" t="str">
        <f ca="1"/>
        <v>Z31</v>
      </c>
      <c r="D29" s="15"/>
      <c r="E29" s="32">
        <f t="shared" si="1"/>
        <v>48017</v>
      </c>
      <c r="F29" t="s">
        <v>69</v>
      </c>
      <c r="G29" s="8" t="str">
        <f ca="1"/>
        <v>Z31</v>
      </c>
      <c r="I29" s="32">
        <f t="shared" si="2"/>
        <v>46357</v>
      </c>
      <c r="J29" t="s">
        <v>18</v>
      </c>
      <c r="K29" s="8" t="str">
        <f ca="1"/>
        <v>J28</v>
      </c>
      <c r="L29" s="11"/>
      <c r="M29" s="7">
        <f t="shared" si="8"/>
        <v>1</v>
      </c>
      <c r="N29" t="str">
        <f t="shared" si="3"/>
        <v>27</v>
      </c>
      <c r="O29">
        <f t="shared" si="4"/>
        <v>46402</v>
      </c>
      <c r="P29">
        <f t="shared" si="5"/>
        <v>46372</v>
      </c>
      <c r="Q29">
        <f t="shared" si="6"/>
        <v>46345</v>
      </c>
      <c r="R29" t="s">
        <v>18</v>
      </c>
      <c r="S29" t="str">
        <f ca="1"/>
        <v>K28</v>
      </c>
      <c r="T29" s="8"/>
      <c r="V29" s="44" t="str">
        <f t="shared" si="9"/>
        <v>Z26</v>
      </c>
      <c r="W29" s="45" t="str">
        <f t="shared" si="9"/>
        <v>Z26</v>
      </c>
    </row>
    <row r="30" spans="1:23" x14ac:dyDescent="0.25">
      <c r="A30" s="7">
        <f t="shared" si="0"/>
        <v>48108</v>
      </c>
      <c r="B30" t="s">
        <v>70</v>
      </c>
      <c r="C30" s="8" t="str">
        <f ca="1"/>
        <v>H32</v>
      </c>
      <c r="D30" s="15"/>
      <c r="E30" s="32">
        <f t="shared" si="1"/>
        <v>48108</v>
      </c>
      <c r="F30" t="s">
        <v>70</v>
      </c>
      <c r="G30" s="8" t="str">
        <f ca="1"/>
        <v>H32</v>
      </c>
      <c r="I30" s="32">
        <f t="shared" si="2"/>
        <v>46388</v>
      </c>
      <c r="J30" t="s">
        <v>43</v>
      </c>
      <c r="K30" s="8" t="str">
        <f ca="1"/>
        <v>K28</v>
      </c>
      <c r="L30" s="11"/>
      <c r="M30" s="7">
        <f t="shared" si="8"/>
        <v>2</v>
      </c>
      <c r="N30" t="str">
        <f t="shared" si="3"/>
        <v>27</v>
      </c>
      <c r="O30">
        <f t="shared" si="4"/>
        <v>46437</v>
      </c>
      <c r="P30">
        <f t="shared" si="5"/>
        <v>46407</v>
      </c>
      <c r="Q30">
        <f t="shared" si="6"/>
        <v>46373</v>
      </c>
      <c r="R30" t="s">
        <v>43</v>
      </c>
      <c r="S30" t="str">
        <f ca="1"/>
        <v>M28</v>
      </c>
      <c r="T30" s="8"/>
      <c r="V30" s="44" t="str">
        <f t="shared" si="9"/>
        <v>G27</v>
      </c>
      <c r="W30" s="45" t="str">
        <f t="shared" si="9"/>
        <v>G27</v>
      </c>
    </row>
    <row r="31" spans="1:23" x14ac:dyDescent="0.25">
      <c r="A31" s="7">
        <f t="shared" si="0"/>
        <v>48199</v>
      </c>
      <c r="B31" t="s">
        <v>73</v>
      </c>
      <c r="C31" s="8" t="str">
        <f ca="1"/>
        <v>M32</v>
      </c>
      <c r="D31" s="15"/>
      <c r="E31" s="32">
        <f t="shared" si="1"/>
        <v>48199</v>
      </c>
      <c r="F31" t="s">
        <v>73</v>
      </c>
      <c r="G31" s="8" t="str">
        <f ca="1"/>
        <v>M32</v>
      </c>
      <c r="I31" s="32">
        <f t="shared" si="2"/>
        <v>46419</v>
      </c>
      <c r="J31" t="s">
        <v>48</v>
      </c>
      <c r="K31" s="8" t="str">
        <f ca="1"/>
        <v>M28</v>
      </c>
      <c r="L31" s="11"/>
      <c r="M31" s="7">
        <f t="shared" si="8"/>
        <v>3</v>
      </c>
      <c r="N31" t="str">
        <f t="shared" si="3"/>
        <v>27</v>
      </c>
      <c r="O31">
        <f t="shared" si="4"/>
        <v>46465</v>
      </c>
      <c r="P31">
        <f t="shared" si="5"/>
        <v>46435</v>
      </c>
      <c r="Q31">
        <f t="shared" si="6"/>
        <v>46408</v>
      </c>
      <c r="R31" t="s">
        <v>48</v>
      </c>
      <c r="S31" t="str">
        <f ca="1"/>
        <v>N28</v>
      </c>
      <c r="T31" s="8"/>
      <c r="V31" s="44" t="str">
        <f t="shared" si="9"/>
        <v>H27</v>
      </c>
      <c r="W31" s="45" t="str">
        <f t="shared" si="9"/>
        <v>H27</v>
      </c>
    </row>
    <row r="32" spans="1:23" x14ac:dyDescent="0.25">
      <c r="A32" s="7">
        <f t="shared" si="0"/>
        <v>48290</v>
      </c>
      <c r="B32" t="s">
        <v>76</v>
      </c>
      <c r="C32" s="8" t="str">
        <f ca="1"/>
        <v>U32</v>
      </c>
      <c r="D32" s="15"/>
      <c r="E32" s="32">
        <f t="shared" si="1"/>
        <v>48290</v>
      </c>
      <c r="F32" t="s">
        <v>76</v>
      </c>
      <c r="G32" s="8" t="str">
        <f ca="1"/>
        <v>U32</v>
      </c>
      <c r="I32" s="32">
        <f t="shared" si="2"/>
        <v>46447</v>
      </c>
      <c r="J32" t="s">
        <v>22</v>
      </c>
      <c r="K32" s="8" t="str">
        <f ca="1"/>
        <v>N28</v>
      </c>
      <c r="L32" s="11"/>
      <c r="M32" s="7">
        <f t="shared" si="8"/>
        <v>4</v>
      </c>
      <c r="N32" t="str">
        <f t="shared" si="3"/>
        <v>27</v>
      </c>
      <c r="O32">
        <f t="shared" si="4"/>
        <v>46493</v>
      </c>
      <c r="P32">
        <f t="shared" si="5"/>
        <v>46463</v>
      </c>
      <c r="Q32">
        <f t="shared" si="6"/>
        <v>46436</v>
      </c>
      <c r="R32" t="s">
        <v>22</v>
      </c>
      <c r="S32" t="str">
        <f ca="1"/>
        <v>Q28</v>
      </c>
      <c r="T32" s="8"/>
      <c r="V32" s="44" t="str">
        <f t="shared" si="9"/>
        <v>J27</v>
      </c>
      <c r="W32" s="45" t="str">
        <f t="shared" si="9"/>
        <v>J27</v>
      </c>
    </row>
    <row r="33" spans="1:23" x14ac:dyDescent="0.25">
      <c r="A33" s="7">
        <f t="shared" si="0"/>
        <v>48381</v>
      </c>
      <c r="B33" t="s">
        <v>77</v>
      </c>
      <c r="C33" s="8" t="str">
        <f ca="1"/>
        <v>Z32</v>
      </c>
      <c r="D33" s="15"/>
      <c r="E33" s="32">
        <f t="shared" si="1"/>
        <v>48381</v>
      </c>
      <c r="F33" t="s">
        <v>77</v>
      </c>
      <c r="G33" s="8" t="str">
        <f ca="1"/>
        <v>Z32</v>
      </c>
      <c r="I33" s="32">
        <f t="shared" si="2"/>
        <v>46478</v>
      </c>
      <c r="J33" t="s">
        <v>53</v>
      </c>
      <c r="K33" s="8" t="str">
        <f ca="1"/>
        <v>Q28</v>
      </c>
      <c r="L33" s="11"/>
      <c r="M33" s="7">
        <f t="shared" si="8"/>
        <v>5</v>
      </c>
      <c r="N33" t="str">
        <f t="shared" si="3"/>
        <v>27</v>
      </c>
      <c r="O33">
        <f t="shared" si="4"/>
        <v>46528</v>
      </c>
      <c r="P33">
        <f t="shared" si="5"/>
        <v>46498</v>
      </c>
      <c r="Q33">
        <f t="shared" si="6"/>
        <v>46464</v>
      </c>
      <c r="R33" t="s">
        <v>53</v>
      </c>
      <c r="S33" t="str">
        <f ca="1"/>
        <v>U28</v>
      </c>
      <c r="T33" s="8"/>
      <c r="V33" s="44" t="str">
        <f t="shared" si="9"/>
        <v>M27</v>
      </c>
      <c r="W33" s="45" t="str">
        <f t="shared" si="9"/>
        <v>M27</v>
      </c>
    </row>
    <row r="34" spans="1:23" x14ac:dyDescent="0.25">
      <c r="A34" s="7">
        <f t="shared" si="0"/>
        <v>48479</v>
      </c>
      <c r="B34" t="s">
        <v>78</v>
      </c>
      <c r="C34" s="8" t="str">
        <f ca="1"/>
        <v>H33</v>
      </c>
      <c r="D34" s="15"/>
      <c r="E34" s="32">
        <f t="shared" si="1"/>
        <v>48479</v>
      </c>
      <c r="F34" t="s">
        <v>78</v>
      </c>
      <c r="G34" s="8" t="str">
        <f ca="1"/>
        <v>H33</v>
      </c>
      <c r="I34" s="32">
        <f t="shared" si="2"/>
        <v>46508</v>
      </c>
      <c r="J34" t="s">
        <v>55</v>
      </c>
      <c r="K34" s="8" t="str">
        <f ca="1"/>
        <v>U28</v>
      </c>
      <c r="L34" s="11"/>
      <c r="M34" s="7">
        <f t="shared" si="8"/>
        <v>6</v>
      </c>
      <c r="N34" t="str">
        <f t="shared" si="3"/>
        <v>27</v>
      </c>
      <c r="O34">
        <f t="shared" si="4"/>
        <v>46556</v>
      </c>
      <c r="P34">
        <f t="shared" si="5"/>
        <v>46526</v>
      </c>
      <c r="Q34">
        <f t="shared" si="6"/>
        <v>46499</v>
      </c>
      <c r="R34" t="s">
        <v>55</v>
      </c>
      <c r="S34" t="str">
        <f ca="1"/>
        <v>V28</v>
      </c>
      <c r="T34" s="8"/>
      <c r="V34" s="44" t="str">
        <f t="shared" si="9"/>
        <v>N27</v>
      </c>
      <c r="W34" s="45" t="str">
        <f t="shared" si="9"/>
        <v>N26</v>
      </c>
    </row>
    <row r="35" spans="1:23" x14ac:dyDescent="0.25">
      <c r="A35" s="7">
        <f t="shared" si="0"/>
        <v>48570</v>
      </c>
      <c r="B35" t="s">
        <v>125</v>
      </c>
      <c r="C35" s="8" t="str">
        <f ca="1"/>
        <v>M33</v>
      </c>
      <c r="D35" s="15"/>
      <c r="E35" s="32">
        <f t="shared" si="1"/>
        <v>48570</v>
      </c>
      <c r="F35" t="s">
        <v>125</v>
      </c>
      <c r="G35" s="8" t="str">
        <f ca="1"/>
        <v>M33</v>
      </c>
      <c r="I35" s="32">
        <f t="shared" si="2"/>
        <v>46539</v>
      </c>
      <c r="J35" t="s">
        <v>26</v>
      </c>
      <c r="K35" s="8" t="str">
        <f ca="1"/>
        <v>V28</v>
      </c>
      <c r="L35" s="11"/>
      <c r="M35" s="7">
        <f t="shared" si="8"/>
        <v>7</v>
      </c>
      <c r="N35" t="str">
        <f t="shared" si="3"/>
        <v>27</v>
      </c>
      <c r="O35">
        <f t="shared" si="4"/>
        <v>46584</v>
      </c>
      <c r="P35">
        <f t="shared" si="5"/>
        <v>46554</v>
      </c>
      <c r="Q35">
        <f t="shared" si="6"/>
        <v>46527</v>
      </c>
      <c r="R35" t="s">
        <v>26</v>
      </c>
      <c r="S35" t="str">
        <f ca="1"/>
        <v>X28</v>
      </c>
      <c r="T35" s="8"/>
      <c r="V35" s="44" t="str">
        <f t="shared" si="9"/>
        <v>U27</v>
      </c>
      <c r="W35" s="45" t="str">
        <f t="shared" si="9"/>
        <v>U27</v>
      </c>
    </row>
    <row r="36" spans="1:23" x14ac:dyDescent="0.25">
      <c r="A36" s="7">
        <f t="shared" si="0"/>
        <v>48654</v>
      </c>
      <c r="B36" t="s">
        <v>126</v>
      </c>
      <c r="C36" s="8" t="str">
        <f ca="1"/>
        <v>U33</v>
      </c>
      <c r="D36" s="15"/>
      <c r="E36" s="32">
        <f t="shared" si="1"/>
        <v>48654</v>
      </c>
      <c r="F36" t="s">
        <v>126</v>
      </c>
      <c r="G36" s="8" t="str">
        <f ca="1"/>
        <v>U33</v>
      </c>
      <c r="I36" s="32">
        <f t="shared" si="2"/>
        <v>46569</v>
      </c>
      <c r="J36" t="s">
        <v>59</v>
      </c>
      <c r="K36" s="8" t="str">
        <f ca="1"/>
        <v>X28</v>
      </c>
      <c r="L36" s="11"/>
      <c r="M36" s="7">
        <f t="shared" si="8"/>
        <v>8</v>
      </c>
      <c r="N36" t="str">
        <f t="shared" si="3"/>
        <v>27</v>
      </c>
      <c r="O36">
        <f t="shared" si="4"/>
        <v>46619</v>
      </c>
      <c r="P36">
        <f t="shared" si="5"/>
        <v>46589</v>
      </c>
      <c r="Q36">
        <f t="shared" si="6"/>
        <v>46555</v>
      </c>
      <c r="R36" t="s">
        <v>59</v>
      </c>
      <c r="S36" t="str">
        <f ca="1"/>
        <v>Z28</v>
      </c>
      <c r="T36" s="8"/>
      <c r="V36" s="44" t="str">
        <f t="shared" si="9"/>
        <v>X27</v>
      </c>
      <c r="W36" s="45" t="str">
        <f t="shared" si="9"/>
        <v>V27</v>
      </c>
    </row>
    <row r="37" spans="1:23" x14ac:dyDescent="0.25">
      <c r="A37" s="7">
        <f t="shared" si="0"/>
        <v>48752</v>
      </c>
      <c r="B37" t="s">
        <v>127</v>
      </c>
      <c r="C37" s="8" t="str">
        <f ca="1"/>
        <v>Z33</v>
      </c>
      <c r="D37" s="15"/>
      <c r="E37" s="32">
        <f t="shared" si="1"/>
        <v>48752</v>
      </c>
      <c r="F37" t="s">
        <v>127</v>
      </c>
      <c r="G37" s="8" t="str">
        <f ca="1"/>
        <v>Z33</v>
      </c>
      <c r="I37" s="32">
        <f t="shared" si="2"/>
        <v>46600</v>
      </c>
      <c r="J37" t="s">
        <v>61</v>
      </c>
      <c r="K37" s="8" t="str">
        <f ca="1"/>
        <v>Z28</v>
      </c>
      <c r="L37" s="11"/>
      <c r="M37" s="7">
        <f t="shared" si="8"/>
        <v>9</v>
      </c>
      <c r="N37" t="str">
        <f t="shared" si="3"/>
        <v>27</v>
      </c>
      <c r="O37">
        <f t="shared" si="4"/>
        <v>46647</v>
      </c>
      <c r="P37">
        <f t="shared" si="5"/>
        <v>46617</v>
      </c>
      <c r="Q37">
        <f t="shared" si="6"/>
        <v>46590</v>
      </c>
      <c r="R37" t="s">
        <v>61</v>
      </c>
      <c r="S37" t="str">
        <f ca="1"/>
        <v>F29</v>
      </c>
      <c r="T37" s="8"/>
      <c r="V37" s="44" t="str">
        <f t="shared" si="9"/>
        <v>Z27</v>
      </c>
      <c r="W37" s="45" t="str">
        <f t="shared" si="9"/>
        <v>Z27</v>
      </c>
    </row>
    <row r="38" spans="1:23" x14ac:dyDescent="0.25">
      <c r="A38" s="7">
        <f t="shared" si="0"/>
        <v>48843</v>
      </c>
      <c r="B38" t="s">
        <v>128</v>
      </c>
      <c r="C38" s="8" t="str">
        <f ca="1"/>
        <v>H34</v>
      </c>
      <c r="D38" s="15"/>
      <c r="E38" s="32">
        <f t="shared" si="1"/>
        <v>48843</v>
      </c>
      <c r="F38" t="s">
        <v>128</v>
      </c>
      <c r="G38" s="8" t="str">
        <f ca="1"/>
        <v>H34</v>
      </c>
      <c r="I38" s="32">
        <f t="shared" si="2"/>
        <v>46631</v>
      </c>
      <c r="J38" t="s">
        <v>29</v>
      </c>
      <c r="K38" s="8" t="str">
        <f ca="1"/>
        <v>F29</v>
      </c>
      <c r="L38" s="11"/>
      <c r="M38" s="7">
        <f t="shared" si="8"/>
        <v>10</v>
      </c>
      <c r="N38" t="str">
        <f t="shared" ref="N38:N69" si="10">IF(M38&gt;1, RIGHT(R38,2),RIGHT(R39,2))</f>
        <v>27</v>
      </c>
      <c r="O38">
        <f t="shared" ref="O38:O69" si="11">DATE(N38+100, M38, 1) + 14 + MOD(6 - WEEKDAY(DATE(N38+100, M38, 1)), 7)</f>
        <v>46675</v>
      </c>
      <c r="P38">
        <f t="shared" ref="P38:P69" si="12">O38-30</f>
        <v>46645</v>
      </c>
      <c r="Q38">
        <f t="shared" ref="Q38:Q69" si="13">P37+1</f>
        <v>46618</v>
      </c>
      <c r="R38" t="s">
        <v>29</v>
      </c>
      <c r="S38" t="str">
        <f ca="1"/>
        <v>G29</v>
      </c>
      <c r="T38" s="8"/>
      <c r="V38" s="44" t="str">
        <f t="shared" si="9"/>
        <v>F0</v>
      </c>
      <c r="W38" s="45" t="str">
        <f t="shared" si="9"/>
        <v>G28</v>
      </c>
    </row>
    <row r="39" spans="1:23" x14ac:dyDescent="0.25">
      <c r="A39" s="7">
        <f t="shared" si="0"/>
        <v>48934</v>
      </c>
      <c r="B39" t="s">
        <v>129</v>
      </c>
      <c r="C39" s="8" t="str">
        <f ca="1"/>
        <v>M34</v>
      </c>
      <c r="D39" s="15"/>
      <c r="E39" s="32">
        <f t="shared" si="1"/>
        <v>48934</v>
      </c>
      <c r="F39" t="s">
        <v>129</v>
      </c>
      <c r="G39" s="8" t="str">
        <f ca="1"/>
        <v>M34</v>
      </c>
      <c r="I39" s="32">
        <f t="shared" si="2"/>
        <v>46661</v>
      </c>
      <c r="J39" t="s">
        <v>64</v>
      </c>
      <c r="K39" s="8" t="str">
        <f ca="1"/>
        <v>G29</v>
      </c>
      <c r="L39" s="11"/>
      <c r="M39" s="7">
        <f t="shared" si="8"/>
        <v>11</v>
      </c>
      <c r="N39" t="str">
        <f t="shared" si="10"/>
        <v>27</v>
      </c>
      <c r="O39">
        <f t="shared" si="11"/>
        <v>46710</v>
      </c>
      <c r="P39">
        <f t="shared" si="12"/>
        <v>46680</v>
      </c>
      <c r="Q39">
        <f t="shared" si="13"/>
        <v>46646</v>
      </c>
      <c r="R39" t="s">
        <v>64</v>
      </c>
      <c r="S39" t="str">
        <f ca="1"/>
        <v>H29</v>
      </c>
      <c r="T39" s="8"/>
      <c r="V39" s="44" t="str">
        <f t="shared" si="9"/>
        <v>F0</v>
      </c>
      <c r="W39" s="45" t="str">
        <f t="shared" si="9"/>
        <v>H28</v>
      </c>
    </row>
    <row r="40" spans="1:23" x14ac:dyDescent="0.25">
      <c r="A40" s="7">
        <f t="shared" si="0"/>
        <v>49025</v>
      </c>
      <c r="B40" t="s">
        <v>130</v>
      </c>
      <c r="C40" s="8" t="str">
        <f ca="1"/>
        <v>U34</v>
      </c>
      <c r="D40" s="15"/>
      <c r="E40" s="32">
        <f t="shared" si="1"/>
        <v>49025</v>
      </c>
      <c r="F40" t="s">
        <v>130</v>
      </c>
      <c r="G40" s="8" t="str">
        <f ca="1"/>
        <v>U34</v>
      </c>
      <c r="I40" s="32">
        <f t="shared" si="2"/>
        <v>46692</v>
      </c>
      <c r="J40" t="s">
        <v>67</v>
      </c>
      <c r="K40" s="8" t="str">
        <f ca="1"/>
        <v>H29</v>
      </c>
      <c r="L40" s="11"/>
      <c r="M40" s="7">
        <f t="shared" si="8"/>
        <v>12</v>
      </c>
      <c r="N40" t="str">
        <f t="shared" si="10"/>
        <v>27</v>
      </c>
      <c r="O40">
        <f t="shared" si="11"/>
        <v>46738</v>
      </c>
      <c r="P40">
        <f t="shared" si="12"/>
        <v>46708</v>
      </c>
      <c r="Q40">
        <f t="shared" si="13"/>
        <v>46681</v>
      </c>
      <c r="R40" t="s">
        <v>67</v>
      </c>
      <c r="S40" t="str">
        <f ca="1"/>
        <v>J29</v>
      </c>
      <c r="T40" s="8"/>
      <c r="V40" s="44" t="str">
        <f t="shared" si="9"/>
        <v>F0</v>
      </c>
      <c r="W40" s="45" t="str">
        <f t="shared" si="9"/>
        <v>K28</v>
      </c>
    </row>
    <row r="41" spans="1:23" x14ac:dyDescent="0.25">
      <c r="A41" s="7">
        <f t="shared" si="0"/>
        <v>49116</v>
      </c>
      <c r="B41" t="s">
        <v>131</v>
      </c>
      <c r="C41" s="8" t="str">
        <f ca="1"/>
        <v>Z34</v>
      </c>
      <c r="D41" s="15"/>
      <c r="E41" s="32">
        <f t="shared" si="1"/>
        <v>49116</v>
      </c>
      <c r="F41" t="s">
        <v>131</v>
      </c>
      <c r="G41" s="8" t="str">
        <f ca="1"/>
        <v>Z34</v>
      </c>
      <c r="I41" s="32">
        <f t="shared" si="2"/>
        <v>46722</v>
      </c>
      <c r="J41" t="s">
        <v>34</v>
      </c>
      <c r="K41" s="8" t="str">
        <f ca="1"/>
        <v>J29</v>
      </c>
      <c r="L41" s="11"/>
      <c r="M41" s="7">
        <f t="shared" si="8"/>
        <v>1</v>
      </c>
      <c r="N41" t="str">
        <f t="shared" si="10"/>
        <v>28</v>
      </c>
      <c r="O41">
        <f t="shared" si="11"/>
        <v>46773</v>
      </c>
      <c r="P41">
        <f t="shared" si="12"/>
        <v>46743</v>
      </c>
      <c r="Q41">
        <f t="shared" si="13"/>
        <v>46709</v>
      </c>
      <c r="R41" t="s">
        <v>34</v>
      </c>
      <c r="S41" t="str">
        <f ca="1"/>
        <v>K29</v>
      </c>
      <c r="T41" s="8"/>
      <c r="V41" s="44" t="str">
        <f t="shared" si="9"/>
        <v>F0</v>
      </c>
      <c r="W41" s="45" t="str">
        <f t="shared" si="9"/>
        <v>M28</v>
      </c>
    </row>
    <row r="42" spans="1:23" x14ac:dyDescent="0.25">
      <c r="A42" s="7">
        <f t="shared" si="0"/>
        <v>49207</v>
      </c>
      <c r="B42" t="s">
        <v>132</v>
      </c>
      <c r="C42" s="8" t="str">
        <f ca="1"/>
        <v>H35</v>
      </c>
      <c r="D42" s="15"/>
      <c r="E42" s="32">
        <f t="shared" si="1"/>
        <v>49207</v>
      </c>
      <c r="F42" t="s">
        <v>132</v>
      </c>
      <c r="G42" s="8" t="str">
        <f ca="1"/>
        <v>H35</v>
      </c>
      <c r="I42" s="32">
        <f t="shared" si="2"/>
        <v>46753</v>
      </c>
      <c r="J42" t="s">
        <v>72</v>
      </c>
      <c r="K42" s="8" t="str">
        <f ca="1"/>
        <v>K29</v>
      </c>
      <c r="L42" s="11"/>
      <c r="M42" s="7">
        <f t="shared" si="8"/>
        <v>2</v>
      </c>
      <c r="N42" t="str">
        <f t="shared" si="10"/>
        <v>28</v>
      </c>
      <c r="O42">
        <f t="shared" si="11"/>
        <v>46801</v>
      </c>
      <c r="P42">
        <f t="shared" si="12"/>
        <v>46771</v>
      </c>
      <c r="Q42">
        <f t="shared" si="13"/>
        <v>46744</v>
      </c>
      <c r="R42" t="s">
        <v>72</v>
      </c>
      <c r="S42" t="str">
        <f ca="1"/>
        <v>M29</v>
      </c>
      <c r="T42" s="8"/>
      <c r="V42" s="44" t="str">
        <f t="shared" si="9"/>
        <v>F0</v>
      </c>
      <c r="W42" s="45" t="str">
        <f t="shared" si="9"/>
        <v>N28</v>
      </c>
    </row>
    <row r="43" spans="1:23" x14ac:dyDescent="0.25">
      <c r="A43" s="7">
        <f t="shared" si="0"/>
        <v>49298</v>
      </c>
      <c r="B43" t="s">
        <v>133</v>
      </c>
      <c r="C43" s="8" t="str">
        <f ca="1"/>
        <v>M35</v>
      </c>
      <c r="D43" s="15"/>
      <c r="E43" s="32">
        <f t="shared" si="1"/>
        <v>49298</v>
      </c>
      <c r="F43" t="s">
        <v>133</v>
      </c>
      <c r="G43" s="8" t="str">
        <f ca="1"/>
        <v>M35</v>
      </c>
      <c r="I43" s="32">
        <f t="shared" si="2"/>
        <v>46784</v>
      </c>
      <c r="J43" t="s">
        <v>75</v>
      </c>
      <c r="K43" s="8" t="str">
        <f ca="1"/>
        <v>M29</v>
      </c>
      <c r="L43" s="11"/>
      <c r="M43" s="7">
        <f t="shared" si="8"/>
        <v>3</v>
      </c>
      <c r="N43" t="str">
        <f t="shared" si="10"/>
        <v>28</v>
      </c>
      <c r="O43">
        <f t="shared" si="11"/>
        <v>46829</v>
      </c>
      <c r="P43">
        <f t="shared" si="12"/>
        <v>46799</v>
      </c>
      <c r="Q43">
        <f t="shared" si="13"/>
        <v>46772</v>
      </c>
      <c r="R43" t="s">
        <v>75</v>
      </c>
      <c r="S43" t="str">
        <f ca="1"/>
        <v>N29</v>
      </c>
      <c r="T43" s="8"/>
      <c r="V43" s="44" t="str">
        <f t="shared" si="9"/>
        <v>F0</v>
      </c>
      <c r="W43" s="45" t="str">
        <f t="shared" si="9"/>
        <v>U28</v>
      </c>
    </row>
    <row r="44" spans="1:23" x14ac:dyDescent="0.25">
      <c r="A44" s="7">
        <f t="shared" si="0"/>
        <v>49389</v>
      </c>
      <c r="B44" t="s">
        <v>134</v>
      </c>
      <c r="C44" s="8" t="str">
        <f ca="1"/>
        <v>U35</v>
      </c>
      <c r="D44" s="15"/>
      <c r="E44" s="32">
        <f t="shared" si="1"/>
        <v>49389</v>
      </c>
      <c r="F44" t="s">
        <v>134</v>
      </c>
      <c r="G44" s="8" t="str">
        <f ca="1"/>
        <v>U35</v>
      </c>
      <c r="I44" s="32">
        <f t="shared" si="2"/>
        <v>46813</v>
      </c>
      <c r="J44" t="s">
        <v>39</v>
      </c>
      <c r="K44" s="8" t="str">
        <f ca="1"/>
        <v>N29</v>
      </c>
      <c r="L44" s="11"/>
      <c r="M44" s="7">
        <f t="shared" si="8"/>
        <v>4</v>
      </c>
      <c r="N44" t="str">
        <f t="shared" si="10"/>
        <v>28</v>
      </c>
      <c r="O44">
        <f t="shared" si="11"/>
        <v>46864</v>
      </c>
      <c r="P44">
        <f t="shared" si="12"/>
        <v>46834</v>
      </c>
      <c r="Q44">
        <f t="shared" si="13"/>
        <v>46800</v>
      </c>
      <c r="R44" t="s">
        <v>39</v>
      </c>
      <c r="S44" t="str">
        <f ca="1"/>
        <v>Q29</v>
      </c>
      <c r="T44" s="8"/>
      <c r="V44" s="44" t="str">
        <f t="shared" si="9"/>
        <v>F0</v>
      </c>
      <c r="W44" s="45" t="str">
        <f t="shared" si="9"/>
        <v>V28</v>
      </c>
    </row>
    <row r="45" spans="1:23" x14ac:dyDescent="0.25">
      <c r="A45" s="7">
        <f t="shared" si="0"/>
        <v>49480</v>
      </c>
      <c r="B45" t="s">
        <v>135</v>
      </c>
      <c r="C45" s="8" t="str">
        <f ca="1"/>
        <v>Z35</v>
      </c>
      <c r="E45" s="32">
        <f t="shared" si="1"/>
        <v>49480</v>
      </c>
      <c r="F45" t="s">
        <v>135</v>
      </c>
      <c r="G45" s="8" t="str">
        <f ca="1"/>
        <v>Z35</v>
      </c>
      <c r="I45" s="32">
        <f t="shared" si="2"/>
        <v>46844</v>
      </c>
      <c r="J45" t="s">
        <v>71</v>
      </c>
      <c r="K45" s="8" t="str">
        <f ca="1"/>
        <v>Q29</v>
      </c>
      <c r="L45" s="11"/>
      <c r="M45" s="7">
        <f t="shared" si="8"/>
        <v>5</v>
      </c>
      <c r="N45" t="str">
        <f t="shared" si="10"/>
        <v>28</v>
      </c>
      <c r="O45">
        <f t="shared" si="11"/>
        <v>46892</v>
      </c>
      <c r="P45">
        <f t="shared" si="12"/>
        <v>46862</v>
      </c>
      <c r="Q45">
        <f t="shared" si="13"/>
        <v>46835</v>
      </c>
      <c r="R45" t="s">
        <v>71</v>
      </c>
      <c r="S45" t="str">
        <f ca="1"/>
        <v>U29</v>
      </c>
      <c r="T45" s="8"/>
      <c r="V45" s="44"/>
      <c r="W45" s="8"/>
    </row>
    <row r="46" spans="1:23" x14ac:dyDescent="0.25">
      <c r="A46" s="7">
        <f t="shared" si="0"/>
        <v>49571</v>
      </c>
      <c r="B46" t="s">
        <v>136</v>
      </c>
      <c r="C46" s="8" t="str">
        <f ca="1"/>
        <v>H36</v>
      </c>
      <c r="E46" s="32">
        <f t="shared" si="1"/>
        <v>49571</v>
      </c>
      <c r="F46" t="s">
        <v>136</v>
      </c>
      <c r="G46" s="8" t="str">
        <f ca="1"/>
        <v>H36</v>
      </c>
      <c r="I46" s="32">
        <f t="shared" si="2"/>
        <v>46874</v>
      </c>
      <c r="J46" t="s">
        <v>74</v>
      </c>
      <c r="K46" s="8" t="str">
        <f ca="1"/>
        <v>U29</v>
      </c>
      <c r="L46" s="11"/>
      <c r="M46" s="7">
        <f t="shared" si="8"/>
        <v>6</v>
      </c>
      <c r="N46" t="str">
        <f t="shared" si="10"/>
        <v>28</v>
      </c>
      <c r="O46">
        <f t="shared" si="11"/>
        <v>46920</v>
      </c>
      <c r="P46">
        <f t="shared" si="12"/>
        <v>46890</v>
      </c>
      <c r="Q46">
        <f t="shared" si="13"/>
        <v>46863</v>
      </c>
      <c r="R46" t="s">
        <v>74</v>
      </c>
      <c r="S46" t="str">
        <f ca="1"/>
        <v>V29</v>
      </c>
      <c r="T46" s="8"/>
      <c r="V46" s="44"/>
      <c r="W46" s="8"/>
    </row>
    <row r="47" spans="1:23" x14ac:dyDescent="0.25">
      <c r="A47" s="7">
        <f t="shared" si="0"/>
        <v>49662</v>
      </c>
      <c r="B47" t="s">
        <v>137</v>
      </c>
      <c r="C47" s="8" t="str">
        <f ca="1"/>
        <v>M36</v>
      </c>
      <c r="E47" s="32">
        <f t="shared" si="1"/>
        <v>49662</v>
      </c>
      <c r="F47" t="s">
        <v>137</v>
      </c>
      <c r="G47" s="8" t="str">
        <f ca="1"/>
        <v>M36</v>
      </c>
      <c r="I47" s="32">
        <f t="shared" si="2"/>
        <v>46905</v>
      </c>
      <c r="J47" t="s">
        <v>42</v>
      </c>
      <c r="K47" s="8" t="str">
        <f ca="1"/>
        <v>V29</v>
      </c>
      <c r="L47" s="11"/>
      <c r="M47" s="7">
        <f t="shared" si="8"/>
        <v>7</v>
      </c>
      <c r="N47" t="str">
        <f t="shared" si="10"/>
        <v>28</v>
      </c>
      <c r="O47">
        <f t="shared" si="11"/>
        <v>46955</v>
      </c>
      <c r="P47">
        <f t="shared" si="12"/>
        <v>46925</v>
      </c>
      <c r="Q47">
        <f t="shared" si="13"/>
        <v>46891</v>
      </c>
      <c r="R47" t="s">
        <v>42</v>
      </c>
      <c r="S47" t="str">
        <f ca="1"/>
        <v>X29</v>
      </c>
      <c r="T47" s="8"/>
      <c r="V47" s="44"/>
      <c r="W47" s="8"/>
    </row>
    <row r="48" spans="1:23" x14ac:dyDescent="0.25">
      <c r="A48" s="7">
        <f t="shared" si="0"/>
        <v>49753</v>
      </c>
      <c r="B48" t="s">
        <v>138</v>
      </c>
      <c r="C48" s="8" t="str">
        <f ca="1"/>
        <v>U36</v>
      </c>
      <c r="E48" s="32">
        <f t="shared" si="1"/>
        <v>49753</v>
      </c>
      <c r="F48" t="s">
        <v>138</v>
      </c>
      <c r="G48" s="8" t="str">
        <f ca="1"/>
        <v>U36</v>
      </c>
      <c r="I48" s="32">
        <f t="shared" si="2"/>
        <v>46935</v>
      </c>
      <c r="J48" t="s">
        <v>139</v>
      </c>
      <c r="K48" s="8" t="str">
        <f ca="1"/>
        <v>X29</v>
      </c>
      <c r="L48" s="11"/>
      <c r="M48" s="7">
        <f t="shared" si="8"/>
        <v>8</v>
      </c>
      <c r="N48" t="str">
        <f t="shared" si="10"/>
        <v>28</v>
      </c>
      <c r="O48">
        <f t="shared" si="11"/>
        <v>46983</v>
      </c>
      <c r="P48">
        <f t="shared" si="12"/>
        <v>46953</v>
      </c>
      <c r="Q48">
        <f t="shared" si="13"/>
        <v>46926</v>
      </c>
      <c r="R48" t="s">
        <v>139</v>
      </c>
      <c r="S48" t="str">
        <f ca="1"/>
        <v>Z29</v>
      </c>
      <c r="T48" s="8"/>
      <c r="V48" s="44"/>
      <c r="W48" s="8"/>
    </row>
    <row r="49" spans="1:23" x14ac:dyDescent="0.25">
      <c r="A49" s="7">
        <f t="shared" si="0"/>
        <v>49844</v>
      </c>
      <c r="B49" t="s">
        <v>140</v>
      </c>
      <c r="C49" s="8" t="str">
        <f ca="1"/>
        <v>Z36</v>
      </c>
      <c r="E49" s="32">
        <f t="shared" si="1"/>
        <v>49844</v>
      </c>
      <c r="F49" t="s">
        <v>140</v>
      </c>
      <c r="G49" s="8" t="str">
        <f ca="1"/>
        <v>Z36</v>
      </c>
      <c r="I49" s="32">
        <f t="shared" si="2"/>
        <v>46966</v>
      </c>
      <c r="J49" t="s">
        <v>141</v>
      </c>
      <c r="K49" s="8" t="str">
        <f ca="1"/>
        <v>Z29</v>
      </c>
      <c r="L49" s="11"/>
      <c r="M49" s="7">
        <f t="shared" si="8"/>
        <v>9</v>
      </c>
      <c r="N49" t="str">
        <f t="shared" si="10"/>
        <v>28</v>
      </c>
      <c r="O49">
        <f t="shared" si="11"/>
        <v>47011</v>
      </c>
      <c r="P49">
        <f t="shared" si="12"/>
        <v>46981</v>
      </c>
      <c r="Q49">
        <f t="shared" si="13"/>
        <v>46954</v>
      </c>
      <c r="R49" t="s">
        <v>141</v>
      </c>
      <c r="S49" t="str">
        <f ca="1"/>
        <v>F30</v>
      </c>
      <c r="T49" s="8"/>
      <c r="V49" s="44"/>
      <c r="W49" s="8"/>
    </row>
    <row r="50" spans="1:23" x14ac:dyDescent="0.25">
      <c r="A50" s="7">
        <f t="shared" si="0"/>
        <v>49935</v>
      </c>
      <c r="B50" t="s">
        <v>142</v>
      </c>
      <c r="C50" s="8" t="str">
        <f ca="1"/>
        <v>H37</v>
      </c>
      <c r="E50" s="32">
        <f t="shared" si="1"/>
        <v>49935</v>
      </c>
      <c r="F50" t="s">
        <v>142</v>
      </c>
      <c r="G50" s="8" t="str">
        <f ca="1"/>
        <v>H37</v>
      </c>
      <c r="I50" s="32">
        <f t="shared" si="2"/>
        <v>46997</v>
      </c>
      <c r="J50" t="s">
        <v>47</v>
      </c>
      <c r="K50" s="8" t="str">
        <f ca="1"/>
        <v>F30</v>
      </c>
      <c r="L50" s="11"/>
      <c r="M50" s="7">
        <f t="shared" si="8"/>
        <v>10</v>
      </c>
      <c r="N50" t="str">
        <f t="shared" si="10"/>
        <v>28</v>
      </c>
      <c r="O50">
        <f t="shared" si="11"/>
        <v>47046</v>
      </c>
      <c r="P50">
        <f t="shared" si="12"/>
        <v>47016</v>
      </c>
      <c r="Q50">
        <f t="shared" si="13"/>
        <v>46982</v>
      </c>
      <c r="R50" t="s">
        <v>47</v>
      </c>
      <c r="S50" t="str">
        <f ca="1"/>
        <v>G30</v>
      </c>
      <c r="T50" s="8"/>
      <c r="V50" s="7"/>
      <c r="W50" s="8"/>
    </row>
    <row r="51" spans="1:23" x14ac:dyDescent="0.25">
      <c r="A51" s="7">
        <f t="shared" si="0"/>
        <v>50026</v>
      </c>
      <c r="B51" t="s">
        <v>143</v>
      </c>
      <c r="C51" s="8" t="str">
        <f ca="1"/>
        <v>M37</v>
      </c>
      <c r="E51" s="32">
        <f t="shared" si="1"/>
        <v>50026</v>
      </c>
      <c r="F51" t="s">
        <v>143</v>
      </c>
      <c r="G51" s="8" t="str">
        <f ca="1"/>
        <v>M37</v>
      </c>
      <c r="I51" s="32">
        <f t="shared" si="2"/>
        <v>47027</v>
      </c>
      <c r="J51" t="s">
        <v>79</v>
      </c>
      <c r="K51" s="8" t="str">
        <f ca="1"/>
        <v>G30</v>
      </c>
      <c r="M51" s="7">
        <f t="shared" si="8"/>
        <v>11</v>
      </c>
      <c r="N51" t="str">
        <f t="shared" si="10"/>
        <v>28</v>
      </c>
      <c r="O51">
        <f t="shared" si="11"/>
        <v>47074</v>
      </c>
      <c r="P51">
        <f t="shared" si="12"/>
        <v>47044</v>
      </c>
      <c r="Q51">
        <f t="shared" si="13"/>
        <v>47017</v>
      </c>
      <c r="R51" t="s">
        <v>79</v>
      </c>
      <c r="S51" t="str">
        <f ca="1"/>
        <v>H30</v>
      </c>
      <c r="T51" s="8"/>
      <c r="V51" s="7"/>
      <c r="W51" s="8"/>
    </row>
    <row r="52" spans="1:23" x14ac:dyDescent="0.25">
      <c r="A52" s="7">
        <f t="shared" si="0"/>
        <v>50117</v>
      </c>
      <c r="B52" t="s">
        <v>144</v>
      </c>
      <c r="C52" s="8" t="str">
        <f ca="1"/>
        <v>U37</v>
      </c>
      <c r="E52" s="32">
        <f t="shared" si="1"/>
        <v>50117</v>
      </c>
      <c r="F52" t="s">
        <v>144</v>
      </c>
      <c r="G52" s="8" t="str">
        <f ca="1"/>
        <v>U37</v>
      </c>
      <c r="I52" s="32">
        <f t="shared" si="2"/>
        <v>47058</v>
      </c>
      <c r="J52" t="s">
        <v>145</v>
      </c>
      <c r="K52" s="8" t="str">
        <f ca="1"/>
        <v>H30</v>
      </c>
      <c r="M52" s="7">
        <f t="shared" si="8"/>
        <v>12</v>
      </c>
      <c r="N52" t="str">
        <f t="shared" si="10"/>
        <v>28</v>
      </c>
      <c r="O52">
        <f t="shared" si="11"/>
        <v>47102</v>
      </c>
      <c r="P52">
        <f t="shared" si="12"/>
        <v>47072</v>
      </c>
      <c r="Q52">
        <f t="shared" si="13"/>
        <v>47045</v>
      </c>
      <c r="R52" t="s">
        <v>145</v>
      </c>
      <c r="S52" t="str">
        <f ca="1"/>
        <v>J30</v>
      </c>
      <c r="T52" s="8"/>
      <c r="V52" s="7"/>
      <c r="W52" s="8"/>
    </row>
    <row r="53" spans="1:23" x14ac:dyDescent="0.25">
      <c r="A53" s="7">
        <f t="shared" si="0"/>
        <v>50208</v>
      </c>
      <c r="B53" t="s">
        <v>146</v>
      </c>
      <c r="C53" s="8" t="str">
        <f ca="1"/>
        <v>Z37</v>
      </c>
      <c r="E53" s="32">
        <f t="shared" si="1"/>
        <v>50208</v>
      </c>
      <c r="F53" t="s">
        <v>146</v>
      </c>
      <c r="G53" s="8" t="str">
        <f ca="1"/>
        <v>Z37</v>
      </c>
      <c r="I53" s="32">
        <f t="shared" si="2"/>
        <v>47088</v>
      </c>
      <c r="J53" t="s">
        <v>51</v>
      </c>
      <c r="K53" s="8" t="str">
        <f ca="1"/>
        <v>J30</v>
      </c>
      <c r="M53" s="7">
        <f t="shared" si="8"/>
        <v>1</v>
      </c>
      <c r="N53" t="str">
        <f t="shared" si="10"/>
        <v>29</v>
      </c>
      <c r="O53">
        <f t="shared" si="11"/>
        <v>47137</v>
      </c>
      <c r="P53">
        <f t="shared" si="12"/>
        <v>47107</v>
      </c>
      <c r="Q53">
        <f t="shared" si="13"/>
        <v>47073</v>
      </c>
      <c r="R53" t="s">
        <v>51</v>
      </c>
      <c r="S53" t="str">
        <f ca="1"/>
        <v>K30</v>
      </c>
      <c r="T53" s="8"/>
      <c r="V53" s="7"/>
      <c r="W53" s="8"/>
    </row>
    <row r="54" spans="1:23" x14ac:dyDescent="0.25">
      <c r="A54" s="7">
        <f t="shared" si="0"/>
        <v>50299</v>
      </c>
      <c r="B54" t="s">
        <v>147</v>
      </c>
      <c r="C54" s="8" t="str">
        <f ca="1"/>
        <v>H39</v>
      </c>
      <c r="E54" s="32">
        <f t="shared" si="1"/>
        <v>50299</v>
      </c>
      <c r="F54" t="s">
        <v>147</v>
      </c>
      <c r="G54" s="8" t="str">
        <f ca="1"/>
        <v>H39</v>
      </c>
      <c r="I54" s="32">
        <f t="shared" si="2"/>
        <v>47119</v>
      </c>
      <c r="J54" t="s">
        <v>148</v>
      </c>
      <c r="K54" s="8" t="str">
        <f ca="1"/>
        <v>K30</v>
      </c>
      <c r="M54" s="7">
        <f t="shared" si="8"/>
        <v>2</v>
      </c>
      <c r="N54" t="str">
        <f t="shared" si="10"/>
        <v>29</v>
      </c>
      <c r="O54">
        <f t="shared" si="11"/>
        <v>47165</v>
      </c>
      <c r="P54">
        <f t="shared" si="12"/>
        <v>47135</v>
      </c>
      <c r="Q54">
        <f t="shared" si="13"/>
        <v>47108</v>
      </c>
      <c r="R54" t="s">
        <v>148</v>
      </c>
      <c r="S54" t="str">
        <f ca="1"/>
        <v>M30</v>
      </c>
      <c r="T54" s="8"/>
      <c r="V54" s="7"/>
      <c r="W54" s="8"/>
    </row>
    <row r="55" spans="1:23" x14ac:dyDescent="0.25">
      <c r="A55" s="7">
        <f t="shared" si="0"/>
        <v>50390</v>
      </c>
      <c r="B55" t="s">
        <v>149</v>
      </c>
      <c r="C55" s="8" t="str">
        <f ca="1"/>
        <v>M39</v>
      </c>
      <c r="E55" s="32">
        <f t="shared" si="1"/>
        <v>50390</v>
      </c>
      <c r="F55" t="s">
        <v>149</v>
      </c>
      <c r="G55" s="8" t="str">
        <f ca="1"/>
        <v>M39</v>
      </c>
      <c r="I55" s="32">
        <f t="shared" si="2"/>
        <v>47150</v>
      </c>
      <c r="J55" t="s">
        <v>150</v>
      </c>
      <c r="K55" s="8" t="str">
        <f ca="1"/>
        <v>M30</v>
      </c>
      <c r="M55" s="7">
        <f t="shared" si="8"/>
        <v>3</v>
      </c>
      <c r="N55" t="str">
        <f t="shared" si="10"/>
        <v>29</v>
      </c>
      <c r="O55">
        <f t="shared" si="11"/>
        <v>47193</v>
      </c>
      <c r="P55">
        <f t="shared" si="12"/>
        <v>47163</v>
      </c>
      <c r="Q55">
        <f t="shared" si="13"/>
        <v>47136</v>
      </c>
      <c r="R55" t="s">
        <v>150</v>
      </c>
      <c r="S55" t="str">
        <f ca="1"/>
        <v>N30</v>
      </c>
      <c r="T55" s="8"/>
      <c r="V55" s="7"/>
      <c r="W55" s="8"/>
    </row>
    <row r="56" spans="1:23" x14ac:dyDescent="0.25">
      <c r="A56" s="7">
        <f t="shared" si="0"/>
        <v>50845</v>
      </c>
      <c r="B56" t="s">
        <v>151</v>
      </c>
      <c r="C56" s="8" t="str">
        <f ca="1"/>
        <v>U39</v>
      </c>
      <c r="E56" s="32">
        <f t="shared" si="1"/>
        <v>50845</v>
      </c>
      <c r="F56" t="s">
        <v>151</v>
      </c>
      <c r="G56" s="8" t="str">
        <f ca="1"/>
        <v>U39</v>
      </c>
      <c r="I56" s="32">
        <f t="shared" si="2"/>
        <v>47178</v>
      </c>
      <c r="J56" t="s">
        <v>52</v>
      </c>
      <c r="K56" s="8" t="str">
        <f ca="1"/>
        <v>N30</v>
      </c>
      <c r="M56" s="7">
        <f t="shared" si="8"/>
        <v>4</v>
      </c>
      <c r="N56" t="str">
        <f t="shared" si="10"/>
        <v>29</v>
      </c>
      <c r="O56">
        <f t="shared" si="11"/>
        <v>47228</v>
      </c>
      <c r="P56">
        <f t="shared" si="12"/>
        <v>47198</v>
      </c>
      <c r="Q56">
        <f t="shared" si="13"/>
        <v>47164</v>
      </c>
      <c r="R56" t="s">
        <v>52</v>
      </c>
      <c r="S56" t="str">
        <f ca="1"/>
        <v>Q30</v>
      </c>
      <c r="T56" s="8"/>
      <c r="V56" s="7"/>
      <c r="W56" s="8"/>
    </row>
    <row r="57" spans="1:23" x14ac:dyDescent="0.25">
      <c r="A57" s="7">
        <f t="shared" si="0"/>
        <v>50943</v>
      </c>
      <c r="B57" t="s">
        <v>152</v>
      </c>
      <c r="C57" s="8" t="str">
        <f ca="1"/>
        <v>Z39</v>
      </c>
      <c r="E57" s="32">
        <f t="shared" si="1"/>
        <v>50943</v>
      </c>
      <c r="F57" t="s">
        <v>152</v>
      </c>
      <c r="G57" s="8" t="str">
        <f ca="1"/>
        <v>Z39</v>
      </c>
      <c r="I57" s="32">
        <f t="shared" si="2"/>
        <v>47209</v>
      </c>
      <c r="J57" t="s">
        <v>153</v>
      </c>
      <c r="K57" s="8" t="str">
        <f ca="1"/>
        <v>Q30</v>
      </c>
      <c r="M57" s="7">
        <f t="shared" si="8"/>
        <v>5</v>
      </c>
      <c r="N57" t="str">
        <f t="shared" si="10"/>
        <v>29</v>
      </c>
      <c r="O57">
        <f t="shared" si="11"/>
        <v>47256</v>
      </c>
      <c r="P57">
        <f t="shared" si="12"/>
        <v>47226</v>
      </c>
      <c r="Q57">
        <f t="shared" si="13"/>
        <v>47199</v>
      </c>
      <c r="R57" t="s">
        <v>153</v>
      </c>
      <c r="S57" t="str">
        <f ca="1"/>
        <v>U30</v>
      </c>
      <c r="T57" s="8"/>
      <c r="V57" s="7"/>
      <c r="W57" s="8"/>
    </row>
    <row r="58" spans="1:23" x14ac:dyDescent="0.25">
      <c r="A58" s="7">
        <f t="shared" si="0"/>
        <v>51034</v>
      </c>
      <c r="B58" t="s">
        <v>154</v>
      </c>
      <c r="C58" s="8" t="str">
        <f ca="1"/>
        <v>H40</v>
      </c>
      <c r="E58" s="32">
        <f t="shared" si="1"/>
        <v>51034</v>
      </c>
      <c r="F58" t="s">
        <v>154</v>
      </c>
      <c r="G58" s="8" t="str">
        <f ca="1"/>
        <v>H40</v>
      </c>
      <c r="I58" s="32">
        <f t="shared" si="2"/>
        <v>47239</v>
      </c>
      <c r="J58" t="s">
        <v>155</v>
      </c>
      <c r="K58" s="8" t="str">
        <f ca="1"/>
        <v>U30</v>
      </c>
      <c r="M58" s="7">
        <f t="shared" si="8"/>
        <v>6</v>
      </c>
      <c r="N58" t="str">
        <f t="shared" si="10"/>
        <v>29</v>
      </c>
      <c r="O58">
        <f t="shared" si="11"/>
        <v>47284</v>
      </c>
      <c r="P58">
        <f t="shared" si="12"/>
        <v>47254</v>
      </c>
      <c r="Q58">
        <f t="shared" si="13"/>
        <v>47227</v>
      </c>
      <c r="R58" t="s">
        <v>155</v>
      </c>
      <c r="S58" t="str">
        <f ca="1"/>
        <v>V30</v>
      </c>
      <c r="T58" s="8"/>
      <c r="V58" s="7"/>
      <c r="W58" s="8"/>
    </row>
    <row r="59" spans="1:23" x14ac:dyDescent="0.25">
      <c r="A59" s="7">
        <f t="shared" si="0"/>
        <v>51125</v>
      </c>
      <c r="B59" t="s">
        <v>156</v>
      </c>
      <c r="C59" s="8" t="str">
        <f ca="1"/>
        <v>M40</v>
      </c>
      <c r="E59" s="32">
        <f t="shared" si="1"/>
        <v>51125</v>
      </c>
      <c r="F59" t="s">
        <v>156</v>
      </c>
      <c r="G59" s="8" t="str">
        <f ca="1"/>
        <v>M40</v>
      </c>
      <c r="I59" s="32">
        <f t="shared" si="2"/>
        <v>47270</v>
      </c>
      <c r="J59" t="s">
        <v>54</v>
      </c>
      <c r="K59" s="8" t="str">
        <f ca="1"/>
        <v>V30</v>
      </c>
      <c r="M59" s="7">
        <f t="shared" si="8"/>
        <v>7</v>
      </c>
      <c r="N59" t="str">
        <f t="shared" si="10"/>
        <v>29</v>
      </c>
      <c r="O59">
        <f t="shared" si="11"/>
        <v>47319</v>
      </c>
      <c r="P59">
        <f t="shared" si="12"/>
        <v>47289</v>
      </c>
      <c r="Q59">
        <f t="shared" si="13"/>
        <v>47255</v>
      </c>
      <c r="R59" t="s">
        <v>54</v>
      </c>
      <c r="S59" t="str">
        <f ca="1"/>
        <v>X30</v>
      </c>
      <c r="T59" s="8"/>
      <c r="V59" s="7"/>
      <c r="W59" s="8"/>
    </row>
    <row r="60" spans="1:23" x14ac:dyDescent="0.25">
      <c r="A60" s="7">
        <f t="shared" si="0"/>
        <v>51216</v>
      </c>
      <c r="B60" t="s">
        <v>157</v>
      </c>
      <c r="C60" s="8" t="str">
        <f ca="1"/>
        <v>U40</v>
      </c>
      <c r="E60" s="32">
        <f t="shared" si="1"/>
        <v>51216</v>
      </c>
      <c r="F60" t="s">
        <v>157</v>
      </c>
      <c r="G60" s="8" t="str">
        <f ca="1"/>
        <v>U40</v>
      </c>
      <c r="I60" s="32">
        <f t="shared" si="2"/>
        <v>47300</v>
      </c>
      <c r="J60" t="s">
        <v>158</v>
      </c>
      <c r="K60" s="8" t="str">
        <f ca="1"/>
        <v>X30</v>
      </c>
      <c r="M60" s="7">
        <f t="shared" si="8"/>
        <v>8</v>
      </c>
      <c r="N60" t="str">
        <f t="shared" si="10"/>
        <v>29</v>
      </c>
      <c r="O60">
        <f t="shared" si="11"/>
        <v>47347</v>
      </c>
      <c r="P60">
        <f t="shared" si="12"/>
        <v>47317</v>
      </c>
      <c r="Q60">
        <f t="shared" si="13"/>
        <v>47290</v>
      </c>
      <c r="R60" t="s">
        <v>158</v>
      </c>
      <c r="S60" t="str">
        <f ca="1"/>
        <v>Z30</v>
      </c>
      <c r="T60" s="8"/>
      <c r="V60" s="7"/>
      <c r="W60" s="8"/>
    </row>
    <row r="61" spans="1:23" x14ac:dyDescent="0.25">
      <c r="A61" s="7">
        <f t="shared" si="0"/>
        <v>51307</v>
      </c>
      <c r="B61" t="s">
        <v>159</v>
      </c>
      <c r="C61" s="8" t="str">
        <f ca="1"/>
        <v>Z40</v>
      </c>
      <c r="E61" s="32">
        <f t="shared" si="1"/>
        <v>51307</v>
      </c>
      <c r="F61" t="s">
        <v>159</v>
      </c>
      <c r="G61" s="8" t="str">
        <f ca="1"/>
        <v>Z40</v>
      </c>
      <c r="I61" s="32">
        <f t="shared" si="2"/>
        <v>47331</v>
      </c>
      <c r="J61" t="s">
        <v>160</v>
      </c>
      <c r="K61" s="8" t="str">
        <f ca="1"/>
        <v>Z30</v>
      </c>
      <c r="M61" s="7">
        <f t="shared" si="8"/>
        <v>9</v>
      </c>
      <c r="N61" t="str">
        <f t="shared" si="10"/>
        <v>29</v>
      </c>
      <c r="O61">
        <f t="shared" si="11"/>
        <v>47382</v>
      </c>
      <c r="P61">
        <f t="shared" si="12"/>
        <v>47352</v>
      </c>
      <c r="Q61">
        <f t="shared" si="13"/>
        <v>47318</v>
      </c>
      <c r="R61" t="s">
        <v>160</v>
      </c>
      <c r="S61" t="str">
        <f ca="1"/>
        <v>F31</v>
      </c>
      <c r="T61" s="8"/>
      <c r="V61" s="7"/>
      <c r="W61" s="8"/>
    </row>
    <row r="62" spans="1:23" x14ac:dyDescent="0.25">
      <c r="A62" s="7">
        <f t="shared" si="0"/>
        <v>51398</v>
      </c>
      <c r="B62" t="s">
        <v>161</v>
      </c>
      <c r="C62" s="8"/>
      <c r="E62" s="32">
        <f t="shared" si="1"/>
        <v>51398</v>
      </c>
      <c r="F62" t="s">
        <v>161</v>
      </c>
      <c r="G62" s="8"/>
      <c r="I62" s="32">
        <f t="shared" si="2"/>
        <v>47362</v>
      </c>
      <c r="J62" t="s">
        <v>57</v>
      </c>
      <c r="K62" s="8" t="str">
        <f ca="1"/>
        <v>F31</v>
      </c>
      <c r="M62" s="7">
        <f t="shared" si="8"/>
        <v>10</v>
      </c>
      <c r="N62" t="str">
        <f t="shared" si="10"/>
        <v>29</v>
      </c>
      <c r="O62">
        <f t="shared" si="11"/>
        <v>47410</v>
      </c>
      <c r="P62">
        <f t="shared" si="12"/>
        <v>47380</v>
      </c>
      <c r="Q62">
        <f t="shared" si="13"/>
        <v>47353</v>
      </c>
      <c r="R62" t="s">
        <v>57</v>
      </c>
      <c r="S62" t="str">
        <f ca="1"/>
        <v>G31</v>
      </c>
      <c r="T62" s="8"/>
      <c r="V62" s="7"/>
      <c r="W62" s="8"/>
    </row>
    <row r="63" spans="1:23" x14ac:dyDescent="0.25">
      <c r="A63" s="12">
        <f t="shared" si="0"/>
        <v>51489</v>
      </c>
      <c r="B63" s="13" t="s">
        <v>162</v>
      </c>
      <c r="C63" s="14"/>
      <c r="E63" s="35">
        <f t="shared" si="1"/>
        <v>51489</v>
      </c>
      <c r="F63" s="13" t="s">
        <v>162</v>
      </c>
      <c r="G63" s="14"/>
      <c r="I63" s="32">
        <f t="shared" si="2"/>
        <v>47392</v>
      </c>
      <c r="J63" t="s">
        <v>163</v>
      </c>
      <c r="K63" s="8" t="str">
        <f ca="1"/>
        <v>G31</v>
      </c>
      <c r="M63" s="7">
        <f t="shared" si="8"/>
        <v>11</v>
      </c>
      <c r="N63" t="str">
        <f t="shared" si="10"/>
        <v>29</v>
      </c>
      <c r="O63">
        <f t="shared" si="11"/>
        <v>47438</v>
      </c>
      <c r="P63">
        <f t="shared" si="12"/>
        <v>47408</v>
      </c>
      <c r="Q63">
        <f t="shared" si="13"/>
        <v>47381</v>
      </c>
      <c r="R63" t="s">
        <v>163</v>
      </c>
      <c r="S63" t="str">
        <f ca="1"/>
        <v>H31</v>
      </c>
      <c r="T63" s="8"/>
      <c r="V63" s="7"/>
      <c r="W63" s="8"/>
    </row>
    <row r="64" spans="1:23" x14ac:dyDescent="0.25">
      <c r="I64" s="32">
        <f t="shared" si="2"/>
        <v>47423</v>
      </c>
      <c r="J64" t="s">
        <v>164</v>
      </c>
      <c r="K64" s="8" t="str">
        <f ca="1"/>
        <v>H31</v>
      </c>
      <c r="M64" s="7">
        <f t="shared" si="8"/>
        <v>12</v>
      </c>
      <c r="N64" t="str">
        <f t="shared" si="10"/>
        <v>29</v>
      </c>
      <c r="O64">
        <f t="shared" si="11"/>
        <v>47473</v>
      </c>
      <c r="P64">
        <f t="shared" si="12"/>
        <v>47443</v>
      </c>
      <c r="Q64">
        <f t="shared" si="13"/>
        <v>47409</v>
      </c>
      <c r="R64" t="s">
        <v>164</v>
      </c>
      <c r="S64" t="str">
        <f ca="1"/>
        <v>J31</v>
      </c>
      <c r="T64" s="8"/>
      <c r="V64" s="7"/>
      <c r="W64" s="8"/>
    </row>
    <row r="65" spans="1:23" x14ac:dyDescent="0.25">
      <c r="I65" s="32">
        <f t="shared" si="2"/>
        <v>47453</v>
      </c>
      <c r="J65" t="s">
        <v>58</v>
      </c>
      <c r="K65" s="8" t="str">
        <f ca="1"/>
        <v>J31</v>
      </c>
      <c r="M65" s="7">
        <f t="shared" si="8"/>
        <v>1</v>
      </c>
      <c r="N65" t="str">
        <f t="shared" si="10"/>
        <v>30</v>
      </c>
      <c r="O65">
        <f t="shared" si="11"/>
        <v>47501</v>
      </c>
      <c r="P65">
        <f t="shared" si="12"/>
        <v>47471</v>
      </c>
      <c r="Q65">
        <f t="shared" si="13"/>
        <v>47444</v>
      </c>
      <c r="R65" t="s">
        <v>58</v>
      </c>
      <c r="S65" t="str">
        <f ca="1"/>
        <v>K31</v>
      </c>
      <c r="T65" s="8"/>
      <c r="V65" s="7"/>
      <c r="W65" s="8"/>
    </row>
    <row r="66" spans="1:23" x14ac:dyDescent="0.25">
      <c r="I66" s="32">
        <f t="shared" si="2"/>
        <v>47484</v>
      </c>
      <c r="J66" t="s">
        <v>165</v>
      </c>
      <c r="K66" s="8" t="str">
        <f ca="1"/>
        <v>K31</v>
      </c>
      <c r="M66" s="7">
        <f t="shared" si="8"/>
        <v>2</v>
      </c>
      <c r="N66" t="str">
        <f t="shared" si="10"/>
        <v>30</v>
      </c>
      <c r="O66">
        <f t="shared" si="11"/>
        <v>47529</v>
      </c>
      <c r="P66">
        <f t="shared" si="12"/>
        <v>47499</v>
      </c>
      <c r="Q66">
        <f t="shared" si="13"/>
        <v>47472</v>
      </c>
      <c r="R66" t="s">
        <v>165</v>
      </c>
      <c r="S66" t="str">
        <f ca="1"/>
        <v>M31</v>
      </c>
      <c r="T66" s="8"/>
      <c r="V66" s="7"/>
      <c r="W66" s="8"/>
    </row>
    <row r="67" spans="1:23" x14ac:dyDescent="0.25">
      <c r="I67" s="32">
        <f t="shared" si="2"/>
        <v>47515</v>
      </c>
      <c r="J67" t="s">
        <v>166</v>
      </c>
      <c r="K67" s="8" t="str">
        <f ca="1"/>
        <v>M31</v>
      </c>
      <c r="M67" s="7">
        <f t="shared" si="8"/>
        <v>3</v>
      </c>
      <c r="N67" t="str">
        <f t="shared" si="10"/>
        <v>30</v>
      </c>
      <c r="O67">
        <f t="shared" si="11"/>
        <v>47557</v>
      </c>
      <c r="P67">
        <f t="shared" si="12"/>
        <v>47527</v>
      </c>
      <c r="Q67">
        <f t="shared" si="13"/>
        <v>47500</v>
      </c>
      <c r="R67" t="s">
        <v>166</v>
      </c>
      <c r="S67" t="str">
        <f ca="1"/>
        <v>N31</v>
      </c>
      <c r="T67" s="8"/>
      <c r="V67" s="7"/>
      <c r="W67" s="8"/>
    </row>
    <row r="68" spans="1:23" x14ac:dyDescent="0.25">
      <c r="I68" s="32">
        <f t="shared" si="2"/>
        <v>47543</v>
      </c>
      <c r="J68" t="s">
        <v>60</v>
      </c>
      <c r="K68" s="8" t="str">
        <f ca="1"/>
        <v>N31</v>
      </c>
      <c r="M68" s="7">
        <f t="shared" si="8"/>
        <v>4</v>
      </c>
      <c r="N68" t="str">
        <f t="shared" si="10"/>
        <v>30</v>
      </c>
      <c r="O68">
        <f t="shared" si="11"/>
        <v>47592</v>
      </c>
      <c r="P68">
        <f t="shared" si="12"/>
        <v>47562</v>
      </c>
      <c r="Q68">
        <f t="shared" si="13"/>
        <v>47528</v>
      </c>
      <c r="R68" t="s">
        <v>60</v>
      </c>
      <c r="S68" t="str">
        <f ca="1"/>
        <v>Q31</v>
      </c>
      <c r="T68" s="8"/>
      <c r="V68" s="7"/>
      <c r="W68" s="8"/>
    </row>
    <row r="69" spans="1:23" x14ac:dyDescent="0.25">
      <c r="I69" s="32">
        <f t="shared" si="2"/>
        <v>47574</v>
      </c>
      <c r="J69" t="s">
        <v>167</v>
      </c>
      <c r="K69" s="8" t="str">
        <f ca="1"/>
        <v>Q31</v>
      </c>
      <c r="M69" s="7">
        <f t="shared" si="8"/>
        <v>5</v>
      </c>
      <c r="N69" t="str">
        <f t="shared" si="10"/>
        <v>30</v>
      </c>
      <c r="O69">
        <f t="shared" si="11"/>
        <v>47620</v>
      </c>
      <c r="P69">
        <f t="shared" si="12"/>
        <v>47590</v>
      </c>
      <c r="Q69">
        <f t="shared" si="13"/>
        <v>47563</v>
      </c>
      <c r="R69" t="s">
        <v>167</v>
      </c>
      <c r="S69" t="str">
        <f ca="1"/>
        <v>U31</v>
      </c>
      <c r="T69" s="8"/>
      <c r="V69" s="7"/>
      <c r="W69" s="8"/>
    </row>
    <row r="70" spans="1:23" x14ac:dyDescent="0.25">
      <c r="I70" s="32">
        <f t="shared" ref="I70:I125" si="14">DATE(RIGHT(J70,2)+100, VLOOKUP(LEFT(J70,1), $I$130:$J$141, 2,0), 1)</f>
        <v>47604</v>
      </c>
      <c r="J70" t="s">
        <v>168</v>
      </c>
      <c r="K70" s="8" t="str">
        <f ca="1"/>
        <v>U31</v>
      </c>
      <c r="M70" s="7">
        <f t="shared" si="8"/>
        <v>6</v>
      </c>
      <c r="N70" t="str">
        <f t="shared" ref="N70:N101" si="15">IF(M70&gt;1, RIGHT(R70,2),RIGHT(R71,2))</f>
        <v>30</v>
      </c>
      <c r="O70">
        <f t="shared" ref="O70:O101" si="16">DATE(N70+100, M70, 1) + 14 + MOD(6 - WEEKDAY(DATE(N70+100, M70, 1)), 7)</f>
        <v>47655</v>
      </c>
      <c r="P70">
        <f t="shared" ref="P70:P101" si="17">O70-30</f>
        <v>47625</v>
      </c>
      <c r="Q70">
        <f t="shared" ref="Q70:Q101" si="18">P69+1</f>
        <v>47591</v>
      </c>
      <c r="R70" t="s">
        <v>168</v>
      </c>
      <c r="S70" t="str">
        <f ca="1"/>
        <v>V31</v>
      </c>
      <c r="T70" s="8"/>
      <c r="V70" s="7"/>
      <c r="W70" s="8"/>
    </row>
    <row r="71" spans="1:23" x14ac:dyDescent="0.25">
      <c r="A71" s="36" t="s">
        <v>1</v>
      </c>
      <c r="B71" s="4">
        <v>1</v>
      </c>
      <c r="E71" s="47" t="s">
        <v>1</v>
      </c>
      <c r="F71" s="3">
        <v>1</v>
      </c>
      <c r="G71" s="3" t="s">
        <v>2</v>
      </c>
      <c r="H71" s="48" t="s">
        <v>1</v>
      </c>
      <c r="I71" s="46">
        <f t="shared" si="14"/>
        <v>47635</v>
      </c>
      <c r="J71" t="s">
        <v>62</v>
      </c>
      <c r="K71" s="8" t="str">
        <f ca="1"/>
        <v>V31</v>
      </c>
      <c r="M71" s="7">
        <f t="shared" ref="M71:M126" si="19">MOD(VLOOKUP(LEFT(R71,1),$E$71:$G$82,2,0),12)+1</f>
        <v>7</v>
      </c>
      <c r="N71" t="str">
        <f t="shared" si="15"/>
        <v>30</v>
      </c>
      <c r="O71">
        <f t="shared" si="16"/>
        <v>47683</v>
      </c>
      <c r="P71">
        <f t="shared" si="17"/>
        <v>47653</v>
      </c>
      <c r="Q71">
        <f t="shared" si="18"/>
        <v>47626</v>
      </c>
      <c r="R71" t="s">
        <v>62</v>
      </c>
      <c r="S71" t="str">
        <f ca="1"/>
        <v>X31</v>
      </c>
      <c r="T71" s="8"/>
      <c r="V71" s="7"/>
      <c r="W71" s="8"/>
    </row>
    <row r="72" spans="1:23" x14ac:dyDescent="0.25">
      <c r="A72" s="37" t="s">
        <v>7</v>
      </c>
      <c r="B72" s="8">
        <v>2</v>
      </c>
      <c r="E72" s="49" t="s">
        <v>7</v>
      </c>
      <c r="F72">
        <v>2</v>
      </c>
      <c r="G72" t="s">
        <v>8</v>
      </c>
      <c r="H72" s="50" t="s">
        <v>7</v>
      </c>
      <c r="I72" s="46">
        <f t="shared" si="14"/>
        <v>47665</v>
      </c>
      <c r="J72" t="s">
        <v>169</v>
      </c>
      <c r="K72" s="8" t="str">
        <f ca="1"/>
        <v>X31</v>
      </c>
      <c r="M72" s="7">
        <f t="shared" si="19"/>
        <v>8</v>
      </c>
      <c r="N72" t="str">
        <f t="shared" si="15"/>
        <v>30</v>
      </c>
      <c r="O72">
        <f t="shared" si="16"/>
        <v>47711</v>
      </c>
      <c r="P72">
        <f t="shared" si="17"/>
        <v>47681</v>
      </c>
      <c r="Q72">
        <f t="shared" si="18"/>
        <v>47654</v>
      </c>
      <c r="R72" t="s">
        <v>169</v>
      </c>
      <c r="S72" t="str">
        <f ca="1"/>
        <v>Z31</v>
      </c>
      <c r="T72" s="8"/>
      <c r="V72" s="7"/>
      <c r="W72" s="8"/>
    </row>
    <row r="73" spans="1:23" x14ac:dyDescent="0.25">
      <c r="A73" s="37" t="s">
        <v>12</v>
      </c>
      <c r="B73" s="8">
        <v>3</v>
      </c>
      <c r="E73" s="49" t="s">
        <v>12</v>
      </c>
      <c r="F73">
        <v>3</v>
      </c>
      <c r="G73" t="s">
        <v>13</v>
      </c>
      <c r="H73" s="50" t="s">
        <v>12</v>
      </c>
      <c r="I73" s="46">
        <f t="shared" si="14"/>
        <v>47696</v>
      </c>
      <c r="J73" t="s">
        <v>170</v>
      </c>
      <c r="K73" s="8" t="str">
        <f ca="1"/>
        <v>Z31</v>
      </c>
      <c r="M73" s="7">
        <f t="shared" si="19"/>
        <v>9</v>
      </c>
      <c r="N73" t="str">
        <f t="shared" si="15"/>
        <v>30</v>
      </c>
      <c r="O73">
        <f t="shared" si="16"/>
        <v>47746</v>
      </c>
      <c r="P73">
        <f t="shared" si="17"/>
        <v>47716</v>
      </c>
      <c r="Q73">
        <f t="shared" si="18"/>
        <v>47682</v>
      </c>
      <c r="R73" t="s">
        <v>170</v>
      </c>
      <c r="S73" t="str">
        <f ca="1"/>
        <v>F32</v>
      </c>
      <c r="T73" s="8"/>
      <c r="V73" s="7"/>
      <c r="W73" s="8"/>
    </row>
    <row r="74" spans="1:23" x14ac:dyDescent="0.25">
      <c r="A74" s="37" t="s">
        <v>16</v>
      </c>
      <c r="B74" s="8">
        <v>4</v>
      </c>
      <c r="E74" s="49" t="s">
        <v>16</v>
      </c>
      <c r="F74">
        <v>4</v>
      </c>
      <c r="G74" t="s">
        <v>17</v>
      </c>
      <c r="H74" s="50" t="s">
        <v>16</v>
      </c>
      <c r="I74" s="46">
        <f t="shared" si="14"/>
        <v>47727</v>
      </c>
      <c r="J74" t="s">
        <v>63</v>
      </c>
      <c r="K74" s="8" t="str">
        <f ca="1"/>
        <v>F32</v>
      </c>
      <c r="M74" s="7">
        <f t="shared" si="19"/>
        <v>10</v>
      </c>
      <c r="N74" t="str">
        <f t="shared" si="15"/>
        <v>30</v>
      </c>
      <c r="O74">
        <f t="shared" si="16"/>
        <v>47774</v>
      </c>
      <c r="P74">
        <f t="shared" si="17"/>
        <v>47744</v>
      </c>
      <c r="Q74">
        <f t="shared" si="18"/>
        <v>47717</v>
      </c>
      <c r="R74" t="s">
        <v>63</v>
      </c>
      <c r="S74" t="str">
        <f ca="1"/>
        <v>G32</v>
      </c>
      <c r="T74" s="8"/>
      <c r="V74" s="7"/>
      <c r="W74" s="8"/>
    </row>
    <row r="75" spans="1:23" x14ac:dyDescent="0.25">
      <c r="A75" s="37" t="s">
        <v>20</v>
      </c>
      <c r="B75" s="8">
        <v>5</v>
      </c>
      <c r="E75" s="49" t="s">
        <v>20</v>
      </c>
      <c r="F75">
        <v>5</v>
      </c>
      <c r="G75" t="s">
        <v>21</v>
      </c>
      <c r="H75" s="50" t="s">
        <v>20</v>
      </c>
      <c r="I75" s="46">
        <f t="shared" si="14"/>
        <v>47757</v>
      </c>
      <c r="J75" t="s">
        <v>171</v>
      </c>
      <c r="K75" s="8" t="str">
        <f ca="1"/>
        <v>G32</v>
      </c>
      <c r="M75" s="7">
        <f t="shared" si="19"/>
        <v>11</v>
      </c>
      <c r="N75" t="str">
        <f t="shared" si="15"/>
        <v>30</v>
      </c>
      <c r="O75">
        <f t="shared" si="16"/>
        <v>47802</v>
      </c>
      <c r="P75">
        <f t="shared" si="17"/>
        <v>47772</v>
      </c>
      <c r="Q75">
        <f t="shared" si="18"/>
        <v>47745</v>
      </c>
      <c r="R75" t="s">
        <v>171</v>
      </c>
      <c r="S75" t="str">
        <f ca="1"/>
        <v>H32</v>
      </c>
      <c r="T75" s="8"/>
      <c r="V75" s="7"/>
      <c r="W75" s="8"/>
    </row>
    <row r="76" spans="1:23" x14ac:dyDescent="0.25">
      <c r="A76" s="37" t="s">
        <v>24</v>
      </c>
      <c r="B76" s="8">
        <v>6</v>
      </c>
      <c r="E76" s="49" t="s">
        <v>24</v>
      </c>
      <c r="F76">
        <v>6</v>
      </c>
      <c r="G76" t="s">
        <v>25</v>
      </c>
      <c r="H76" s="50" t="s">
        <v>24</v>
      </c>
      <c r="I76" s="46">
        <f t="shared" si="14"/>
        <v>47788</v>
      </c>
      <c r="J76" t="s">
        <v>172</v>
      </c>
      <c r="K76" s="8" t="str">
        <f ca="1"/>
        <v>H32</v>
      </c>
      <c r="M76" s="7">
        <f t="shared" si="19"/>
        <v>12</v>
      </c>
      <c r="N76" t="str">
        <f t="shared" si="15"/>
        <v>30</v>
      </c>
      <c r="O76">
        <f t="shared" si="16"/>
        <v>47837</v>
      </c>
      <c r="P76">
        <f t="shared" si="17"/>
        <v>47807</v>
      </c>
      <c r="Q76">
        <f t="shared" si="18"/>
        <v>47773</v>
      </c>
      <c r="R76" t="s">
        <v>172</v>
      </c>
      <c r="S76" t="str">
        <f ca="1"/>
        <v>J32</v>
      </c>
      <c r="T76" s="8"/>
      <c r="V76" s="7"/>
      <c r="W76" s="8"/>
    </row>
    <row r="77" spans="1:23" x14ac:dyDescent="0.25">
      <c r="A77" s="37" t="s">
        <v>27</v>
      </c>
      <c r="B77" s="8">
        <v>7</v>
      </c>
      <c r="E77" s="49" t="s">
        <v>27</v>
      </c>
      <c r="F77">
        <v>7</v>
      </c>
      <c r="G77" t="s">
        <v>28</v>
      </c>
      <c r="H77" s="50" t="s">
        <v>27</v>
      </c>
      <c r="I77" s="46">
        <f t="shared" si="14"/>
        <v>47818</v>
      </c>
      <c r="J77" t="s">
        <v>66</v>
      </c>
      <c r="K77" s="8" t="str">
        <f ca="1"/>
        <v>J32</v>
      </c>
      <c r="M77" s="7">
        <f t="shared" si="19"/>
        <v>1</v>
      </c>
      <c r="N77" t="str">
        <f t="shared" si="15"/>
        <v>31</v>
      </c>
      <c r="O77">
        <f t="shared" si="16"/>
        <v>47865</v>
      </c>
      <c r="P77">
        <f t="shared" si="17"/>
        <v>47835</v>
      </c>
      <c r="Q77">
        <f t="shared" si="18"/>
        <v>47808</v>
      </c>
      <c r="R77" t="s">
        <v>66</v>
      </c>
      <c r="S77" t="str">
        <f ca="1"/>
        <v>K32</v>
      </c>
      <c r="T77" s="8"/>
      <c r="V77" s="7"/>
      <c r="W77" s="8"/>
    </row>
    <row r="78" spans="1:23" x14ac:dyDescent="0.25">
      <c r="A78" s="37" t="s">
        <v>32</v>
      </c>
      <c r="B78" s="8">
        <v>8</v>
      </c>
      <c r="E78" s="49" t="s">
        <v>32</v>
      </c>
      <c r="F78">
        <v>8</v>
      </c>
      <c r="G78" t="s">
        <v>33</v>
      </c>
      <c r="H78" s="50" t="s">
        <v>32</v>
      </c>
      <c r="I78" s="46">
        <f t="shared" si="14"/>
        <v>47849</v>
      </c>
      <c r="J78" t="s">
        <v>173</v>
      </c>
      <c r="K78" s="8" t="str">
        <f ca="1"/>
        <v>K32</v>
      </c>
      <c r="M78" s="7">
        <f t="shared" si="19"/>
        <v>2</v>
      </c>
      <c r="N78" t="str">
        <f t="shared" si="15"/>
        <v>31</v>
      </c>
      <c r="O78">
        <f t="shared" si="16"/>
        <v>47900</v>
      </c>
      <c r="P78">
        <f t="shared" si="17"/>
        <v>47870</v>
      </c>
      <c r="Q78">
        <f t="shared" si="18"/>
        <v>47836</v>
      </c>
      <c r="R78" t="s">
        <v>173</v>
      </c>
      <c r="S78" t="str">
        <f ca="1"/>
        <v>M32</v>
      </c>
      <c r="T78" s="8"/>
      <c r="V78" s="7"/>
      <c r="W78" s="8"/>
    </row>
    <row r="79" spans="1:23" x14ac:dyDescent="0.25">
      <c r="A79" s="37" t="s">
        <v>37</v>
      </c>
      <c r="B79" s="8">
        <v>9</v>
      </c>
      <c r="E79" s="49" t="s">
        <v>37</v>
      </c>
      <c r="F79">
        <v>9</v>
      </c>
      <c r="G79" t="s">
        <v>38</v>
      </c>
      <c r="H79" s="50" t="s">
        <v>37</v>
      </c>
      <c r="I79" s="46">
        <f t="shared" si="14"/>
        <v>47880</v>
      </c>
      <c r="J79" t="s">
        <v>174</v>
      </c>
      <c r="K79" s="8" t="str">
        <f ca="1"/>
        <v>M32</v>
      </c>
      <c r="M79" s="7">
        <f t="shared" si="19"/>
        <v>3</v>
      </c>
      <c r="N79" t="str">
        <f t="shared" si="15"/>
        <v>31</v>
      </c>
      <c r="O79">
        <f t="shared" si="16"/>
        <v>47928</v>
      </c>
      <c r="P79">
        <f t="shared" si="17"/>
        <v>47898</v>
      </c>
      <c r="Q79">
        <f t="shared" si="18"/>
        <v>47871</v>
      </c>
      <c r="R79" t="s">
        <v>174</v>
      </c>
      <c r="S79" t="str">
        <f ca="1"/>
        <v>N32</v>
      </c>
      <c r="T79" s="8"/>
      <c r="V79" s="7"/>
      <c r="W79" s="8"/>
    </row>
    <row r="80" spans="1:23" x14ac:dyDescent="0.25">
      <c r="A80" s="37" t="s">
        <v>40</v>
      </c>
      <c r="B80" s="8">
        <v>10</v>
      </c>
      <c r="E80" s="49" t="s">
        <v>40</v>
      </c>
      <c r="F80">
        <v>10</v>
      </c>
      <c r="G80" t="s">
        <v>41</v>
      </c>
      <c r="H80" s="50" t="s">
        <v>40</v>
      </c>
      <c r="I80" s="46">
        <f t="shared" si="14"/>
        <v>47908</v>
      </c>
      <c r="J80" t="s">
        <v>68</v>
      </c>
      <c r="K80" s="8" t="str">
        <f ca="1"/>
        <v>N32</v>
      </c>
      <c r="M80" s="7">
        <f t="shared" si="19"/>
        <v>4</v>
      </c>
      <c r="N80" t="str">
        <f t="shared" si="15"/>
        <v>31</v>
      </c>
      <c r="O80">
        <f t="shared" si="16"/>
        <v>47956</v>
      </c>
      <c r="P80">
        <f t="shared" si="17"/>
        <v>47926</v>
      </c>
      <c r="Q80">
        <f t="shared" si="18"/>
        <v>47899</v>
      </c>
      <c r="R80" t="s">
        <v>68</v>
      </c>
      <c r="S80" t="str">
        <f ca="1"/>
        <v>Q32</v>
      </c>
      <c r="T80" s="8"/>
      <c r="V80" s="7"/>
      <c r="W80" s="8"/>
    </row>
    <row r="81" spans="1:23" x14ac:dyDescent="0.25">
      <c r="A81" s="37" t="s">
        <v>45</v>
      </c>
      <c r="B81" s="8">
        <v>11</v>
      </c>
      <c r="E81" s="49" t="s">
        <v>45</v>
      </c>
      <c r="F81">
        <v>11</v>
      </c>
      <c r="G81" t="s">
        <v>46</v>
      </c>
      <c r="H81" s="50" t="s">
        <v>45</v>
      </c>
      <c r="I81" s="46">
        <f t="shared" si="14"/>
        <v>47939</v>
      </c>
      <c r="J81" t="s">
        <v>175</v>
      </c>
      <c r="K81" s="8" t="str">
        <f ca="1"/>
        <v>Q32</v>
      </c>
      <c r="M81" s="7">
        <f t="shared" si="19"/>
        <v>5</v>
      </c>
      <c r="N81" t="str">
        <f t="shared" si="15"/>
        <v>31</v>
      </c>
      <c r="O81">
        <f t="shared" si="16"/>
        <v>47984</v>
      </c>
      <c r="P81">
        <f t="shared" si="17"/>
        <v>47954</v>
      </c>
      <c r="Q81">
        <f t="shared" si="18"/>
        <v>47927</v>
      </c>
      <c r="R81" t="s">
        <v>175</v>
      </c>
      <c r="S81" t="str">
        <f ca="1"/>
        <v>U32</v>
      </c>
      <c r="T81" s="8"/>
      <c r="V81" s="7"/>
      <c r="W81" s="8"/>
    </row>
    <row r="82" spans="1:23" ht="15.75" thickBot="1" x14ac:dyDescent="0.3">
      <c r="A82" s="38" t="s">
        <v>49</v>
      </c>
      <c r="B82" s="39">
        <v>12</v>
      </c>
      <c r="E82" s="51" t="s">
        <v>49</v>
      </c>
      <c r="F82" s="13">
        <v>12</v>
      </c>
      <c r="G82" s="13" t="s">
        <v>50</v>
      </c>
      <c r="H82" s="52" t="s">
        <v>49</v>
      </c>
      <c r="I82" s="46">
        <f t="shared" si="14"/>
        <v>47969</v>
      </c>
      <c r="J82" t="s">
        <v>176</v>
      </c>
      <c r="K82" s="8" t="str">
        <f ca="1"/>
        <v>U32</v>
      </c>
      <c r="M82" s="7">
        <f t="shared" si="19"/>
        <v>6</v>
      </c>
      <c r="N82" t="str">
        <f t="shared" si="15"/>
        <v>31</v>
      </c>
      <c r="O82">
        <f t="shared" si="16"/>
        <v>48019</v>
      </c>
      <c r="P82">
        <f t="shared" si="17"/>
        <v>47989</v>
      </c>
      <c r="Q82">
        <f t="shared" si="18"/>
        <v>47955</v>
      </c>
      <c r="R82" t="s">
        <v>176</v>
      </c>
      <c r="S82" t="str">
        <f ca="1"/>
        <v>V32</v>
      </c>
      <c r="T82" s="8"/>
      <c r="V82" s="7"/>
      <c r="W82" s="8"/>
    </row>
    <row r="83" spans="1:23" x14ac:dyDescent="0.25">
      <c r="I83" s="32">
        <f t="shared" si="14"/>
        <v>48000</v>
      </c>
      <c r="J83" t="s">
        <v>69</v>
      </c>
      <c r="K83" s="8" t="str">
        <f ca="1"/>
        <v>V32</v>
      </c>
      <c r="M83" s="7">
        <f t="shared" si="19"/>
        <v>7</v>
      </c>
      <c r="N83" t="str">
        <f t="shared" si="15"/>
        <v>31</v>
      </c>
      <c r="O83">
        <f t="shared" si="16"/>
        <v>48047</v>
      </c>
      <c r="P83">
        <f t="shared" si="17"/>
        <v>48017</v>
      </c>
      <c r="Q83">
        <f t="shared" si="18"/>
        <v>47990</v>
      </c>
      <c r="R83" t="s">
        <v>69</v>
      </c>
      <c r="S83" t="str">
        <f ca="1"/>
        <v>X32</v>
      </c>
      <c r="T83" s="8"/>
      <c r="V83" s="7"/>
      <c r="W83" s="8"/>
    </row>
    <row r="84" spans="1:23" x14ac:dyDescent="0.25">
      <c r="I84" s="32">
        <f t="shared" si="14"/>
        <v>48030</v>
      </c>
      <c r="J84" t="s">
        <v>177</v>
      </c>
      <c r="K84" s="8" t="str">
        <f ca="1"/>
        <v>X32</v>
      </c>
      <c r="M84" s="7">
        <f t="shared" si="19"/>
        <v>8</v>
      </c>
      <c r="N84" t="str">
        <f t="shared" si="15"/>
        <v>31</v>
      </c>
      <c r="O84">
        <f t="shared" si="16"/>
        <v>48075</v>
      </c>
      <c r="P84">
        <f t="shared" si="17"/>
        <v>48045</v>
      </c>
      <c r="Q84">
        <f t="shared" si="18"/>
        <v>48018</v>
      </c>
      <c r="R84" t="s">
        <v>177</v>
      </c>
      <c r="S84" t="str">
        <f ca="1"/>
        <v>Z32</v>
      </c>
      <c r="T84" s="8"/>
      <c r="V84" s="7"/>
      <c r="W84" s="8"/>
    </row>
    <row r="85" spans="1:23" x14ac:dyDescent="0.25">
      <c r="I85" s="32">
        <f t="shared" si="14"/>
        <v>48061</v>
      </c>
      <c r="J85" t="s">
        <v>178</v>
      </c>
      <c r="K85" s="8" t="str">
        <f ca="1"/>
        <v>Z32</v>
      </c>
      <c r="M85" s="7">
        <f t="shared" si="19"/>
        <v>9</v>
      </c>
      <c r="N85" t="str">
        <f t="shared" si="15"/>
        <v>31</v>
      </c>
      <c r="O85">
        <f t="shared" si="16"/>
        <v>48110</v>
      </c>
      <c r="P85">
        <f t="shared" si="17"/>
        <v>48080</v>
      </c>
      <c r="Q85">
        <f t="shared" si="18"/>
        <v>48046</v>
      </c>
      <c r="R85" t="s">
        <v>178</v>
      </c>
      <c r="S85" t="str">
        <f ca="1"/>
        <v>F33</v>
      </c>
      <c r="T85" s="8"/>
      <c r="V85" s="7"/>
      <c r="W85" s="8"/>
    </row>
    <row r="86" spans="1:23" x14ac:dyDescent="0.25">
      <c r="I86" s="32">
        <f t="shared" si="14"/>
        <v>48092</v>
      </c>
      <c r="J86" t="s">
        <v>70</v>
      </c>
      <c r="K86" s="8" t="str">
        <f ca="1"/>
        <v>F33</v>
      </c>
      <c r="M86" s="7">
        <f t="shared" si="19"/>
        <v>10</v>
      </c>
      <c r="N86" t="str">
        <f t="shared" si="15"/>
        <v>31</v>
      </c>
      <c r="O86">
        <f t="shared" si="16"/>
        <v>48138</v>
      </c>
      <c r="P86">
        <f t="shared" si="17"/>
        <v>48108</v>
      </c>
      <c r="Q86">
        <f t="shared" si="18"/>
        <v>48081</v>
      </c>
      <c r="R86" t="s">
        <v>70</v>
      </c>
      <c r="S86" t="str">
        <f ca="1"/>
        <v>G33</v>
      </c>
      <c r="T86" s="8"/>
      <c r="V86" s="7"/>
      <c r="W86" s="8"/>
    </row>
    <row r="87" spans="1:23" x14ac:dyDescent="0.25">
      <c r="I87" s="32">
        <f t="shared" si="14"/>
        <v>48122</v>
      </c>
      <c r="J87" t="s">
        <v>179</v>
      </c>
      <c r="K87" s="8" t="str">
        <f ca="1"/>
        <v>G33</v>
      </c>
      <c r="M87" s="7">
        <f t="shared" si="19"/>
        <v>11</v>
      </c>
      <c r="N87" t="str">
        <f t="shared" si="15"/>
        <v>31</v>
      </c>
      <c r="O87">
        <f t="shared" si="16"/>
        <v>48173</v>
      </c>
      <c r="P87">
        <f t="shared" si="17"/>
        <v>48143</v>
      </c>
      <c r="Q87">
        <f t="shared" si="18"/>
        <v>48109</v>
      </c>
      <c r="R87" t="s">
        <v>179</v>
      </c>
      <c r="S87" t="str">
        <f ca="1"/>
        <v>H33</v>
      </c>
      <c r="T87" s="8"/>
      <c r="V87" s="7"/>
      <c r="W87" s="8"/>
    </row>
    <row r="88" spans="1:23" x14ac:dyDescent="0.25">
      <c r="I88" s="32">
        <f t="shared" si="14"/>
        <v>48153</v>
      </c>
      <c r="J88" t="s">
        <v>180</v>
      </c>
      <c r="K88" s="8" t="str">
        <f ca="1"/>
        <v>H33</v>
      </c>
      <c r="M88" s="7">
        <f t="shared" si="19"/>
        <v>12</v>
      </c>
      <c r="N88" t="str">
        <f t="shared" si="15"/>
        <v>31</v>
      </c>
      <c r="O88">
        <f t="shared" si="16"/>
        <v>48201</v>
      </c>
      <c r="P88">
        <f t="shared" si="17"/>
        <v>48171</v>
      </c>
      <c r="Q88">
        <f t="shared" si="18"/>
        <v>48144</v>
      </c>
      <c r="R88" t="s">
        <v>180</v>
      </c>
      <c r="S88" t="str">
        <f ca="1"/>
        <v>J33</v>
      </c>
      <c r="T88" s="8"/>
      <c r="V88" s="7"/>
      <c r="W88" s="8"/>
    </row>
    <row r="89" spans="1:23" x14ac:dyDescent="0.25">
      <c r="I89" s="32">
        <f t="shared" si="14"/>
        <v>48183</v>
      </c>
      <c r="J89" t="s">
        <v>73</v>
      </c>
      <c r="K89" s="8" t="str">
        <f ca="1"/>
        <v>J33</v>
      </c>
      <c r="M89" s="7">
        <f t="shared" si="19"/>
        <v>1</v>
      </c>
      <c r="N89" t="str">
        <f t="shared" si="15"/>
        <v>32</v>
      </c>
      <c r="O89">
        <f t="shared" si="16"/>
        <v>48229</v>
      </c>
      <c r="P89">
        <f t="shared" si="17"/>
        <v>48199</v>
      </c>
      <c r="Q89">
        <f t="shared" si="18"/>
        <v>48172</v>
      </c>
      <c r="R89" t="s">
        <v>73</v>
      </c>
      <c r="S89" t="str">
        <f ca="1"/>
        <v>K33</v>
      </c>
      <c r="T89" s="8"/>
      <c r="V89" s="7"/>
      <c r="W89" s="8"/>
    </row>
    <row r="90" spans="1:23" x14ac:dyDescent="0.25">
      <c r="I90" s="32">
        <f t="shared" si="14"/>
        <v>48214</v>
      </c>
      <c r="J90" t="s">
        <v>181</v>
      </c>
      <c r="K90" s="8" t="str">
        <f ca="1"/>
        <v>K33</v>
      </c>
      <c r="M90" s="7">
        <f t="shared" si="19"/>
        <v>2</v>
      </c>
      <c r="N90" t="str">
        <f t="shared" si="15"/>
        <v>32</v>
      </c>
      <c r="O90">
        <f t="shared" si="16"/>
        <v>48264</v>
      </c>
      <c r="P90">
        <f t="shared" si="17"/>
        <v>48234</v>
      </c>
      <c r="Q90">
        <f t="shared" si="18"/>
        <v>48200</v>
      </c>
      <c r="R90" t="s">
        <v>181</v>
      </c>
      <c r="S90" t="str">
        <f ca="1"/>
        <v>M33</v>
      </c>
      <c r="T90" s="8"/>
      <c r="V90" s="7"/>
      <c r="W90" s="8"/>
    </row>
    <row r="91" spans="1:23" x14ac:dyDescent="0.25">
      <c r="I91" s="32">
        <f t="shared" si="14"/>
        <v>48245</v>
      </c>
      <c r="J91" t="s">
        <v>182</v>
      </c>
      <c r="K91" s="8" t="str">
        <f ca="1"/>
        <v>M33</v>
      </c>
      <c r="M91" s="7">
        <f t="shared" si="19"/>
        <v>3</v>
      </c>
      <c r="N91" t="str">
        <f t="shared" si="15"/>
        <v>32</v>
      </c>
      <c r="O91">
        <f t="shared" si="16"/>
        <v>48292</v>
      </c>
      <c r="P91">
        <f t="shared" si="17"/>
        <v>48262</v>
      </c>
      <c r="Q91">
        <f t="shared" si="18"/>
        <v>48235</v>
      </c>
      <c r="R91" t="s">
        <v>182</v>
      </c>
      <c r="S91" t="str">
        <f ca="1"/>
        <v>N33</v>
      </c>
      <c r="T91" s="8"/>
      <c r="V91" s="7"/>
      <c r="W91" s="8"/>
    </row>
    <row r="92" spans="1:23" x14ac:dyDescent="0.25">
      <c r="I92" s="32">
        <f t="shared" si="14"/>
        <v>48274</v>
      </c>
      <c r="J92" t="s">
        <v>76</v>
      </c>
      <c r="K92" s="8" t="str">
        <f ca="1"/>
        <v>N33</v>
      </c>
      <c r="M92" s="7">
        <f t="shared" si="19"/>
        <v>4</v>
      </c>
      <c r="N92" t="str">
        <f t="shared" si="15"/>
        <v>32</v>
      </c>
      <c r="O92">
        <f t="shared" si="16"/>
        <v>48320</v>
      </c>
      <c r="P92">
        <f t="shared" si="17"/>
        <v>48290</v>
      </c>
      <c r="Q92">
        <f t="shared" si="18"/>
        <v>48263</v>
      </c>
      <c r="R92" t="s">
        <v>76</v>
      </c>
      <c r="S92" t="str">
        <f ca="1"/>
        <v>Q33</v>
      </c>
      <c r="T92" s="8"/>
      <c r="V92" s="7"/>
      <c r="W92" s="8"/>
    </row>
    <row r="93" spans="1:23" x14ac:dyDescent="0.25">
      <c r="I93" s="32">
        <f t="shared" si="14"/>
        <v>48305</v>
      </c>
      <c r="J93" t="s">
        <v>183</v>
      </c>
      <c r="K93" s="8" t="str">
        <f ca="1"/>
        <v>Q33</v>
      </c>
      <c r="M93" s="7">
        <f t="shared" si="19"/>
        <v>5</v>
      </c>
      <c r="N93" t="str">
        <f t="shared" si="15"/>
        <v>32</v>
      </c>
      <c r="O93">
        <f t="shared" si="16"/>
        <v>48355</v>
      </c>
      <c r="P93">
        <f t="shared" si="17"/>
        <v>48325</v>
      </c>
      <c r="Q93">
        <f t="shared" si="18"/>
        <v>48291</v>
      </c>
      <c r="R93" t="s">
        <v>183</v>
      </c>
      <c r="S93" t="str">
        <f ca="1"/>
        <v>U33</v>
      </c>
      <c r="T93" s="8"/>
      <c r="V93" s="7"/>
      <c r="W93" s="8"/>
    </row>
    <row r="94" spans="1:23" x14ac:dyDescent="0.25">
      <c r="I94" s="32">
        <f t="shared" si="14"/>
        <v>48335</v>
      </c>
      <c r="J94" t="s">
        <v>184</v>
      </c>
      <c r="K94" s="8" t="str">
        <f ca="1"/>
        <v>U33</v>
      </c>
      <c r="M94" s="7">
        <f t="shared" si="19"/>
        <v>6</v>
      </c>
      <c r="N94" t="str">
        <f t="shared" si="15"/>
        <v>32</v>
      </c>
      <c r="O94">
        <f t="shared" si="16"/>
        <v>48383</v>
      </c>
      <c r="P94">
        <f t="shared" si="17"/>
        <v>48353</v>
      </c>
      <c r="Q94">
        <f t="shared" si="18"/>
        <v>48326</v>
      </c>
      <c r="R94" t="s">
        <v>184</v>
      </c>
      <c r="S94" t="str">
        <f ca="1"/>
        <v>V33</v>
      </c>
      <c r="T94" s="8"/>
      <c r="V94" s="7"/>
      <c r="W94" s="8"/>
    </row>
    <row r="95" spans="1:23" x14ac:dyDescent="0.25">
      <c r="I95" s="32">
        <f t="shared" si="14"/>
        <v>48366</v>
      </c>
      <c r="J95" t="s">
        <v>77</v>
      </c>
      <c r="K95" s="8" t="str">
        <f ca="1"/>
        <v>V33</v>
      </c>
      <c r="M95" s="7">
        <f t="shared" si="19"/>
        <v>7</v>
      </c>
      <c r="N95" t="str">
        <f t="shared" si="15"/>
        <v>32</v>
      </c>
      <c r="O95">
        <f t="shared" si="16"/>
        <v>48411</v>
      </c>
      <c r="P95">
        <f t="shared" si="17"/>
        <v>48381</v>
      </c>
      <c r="Q95">
        <f t="shared" si="18"/>
        <v>48354</v>
      </c>
      <c r="R95" t="s">
        <v>77</v>
      </c>
      <c r="S95" t="str">
        <f ca="1"/>
        <v>X33</v>
      </c>
      <c r="T95" s="8"/>
      <c r="V95" s="7"/>
      <c r="W95" s="8"/>
    </row>
    <row r="96" spans="1:23" x14ac:dyDescent="0.25">
      <c r="I96" s="32">
        <f t="shared" si="14"/>
        <v>48396</v>
      </c>
      <c r="J96" t="s">
        <v>185</v>
      </c>
      <c r="K96" s="8" t="str">
        <f ca="1"/>
        <v>X33</v>
      </c>
      <c r="M96" s="7">
        <f t="shared" si="19"/>
        <v>8</v>
      </c>
      <c r="N96" t="str">
        <f t="shared" si="15"/>
        <v>32</v>
      </c>
      <c r="O96">
        <f t="shared" si="16"/>
        <v>48446</v>
      </c>
      <c r="P96">
        <f t="shared" si="17"/>
        <v>48416</v>
      </c>
      <c r="Q96">
        <f t="shared" si="18"/>
        <v>48382</v>
      </c>
      <c r="R96" t="s">
        <v>185</v>
      </c>
      <c r="S96" t="str">
        <f ca="1"/>
        <v>Z33</v>
      </c>
      <c r="T96" s="8"/>
      <c r="V96" s="7"/>
      <c r="W96" s="8"/>
    </row>
    <row r="97" spans="9:23" x14ac:dyDescent="0.25">
      <c r="I97" s="32">
        <f t="shared" si="14"/>
        <v>48427</v>
      </c>
      <c r="J97" t="s">
        <v>186</v>
      </c>
      <c r="K97" s="8" t="str">
        <f ca="1"/>
        <v>Z33</v>
      </c>
      <c r="M97" s="7">
        <f t="shared" si="19"/>
        <v>9</v>
      </c>
      <c r="N97" t="str">
        <f t="shared" si="15"/>
        <v>32</v>
      </c>
      <c r="O97">
        <f t="shared" si="16"/>
        <v>48474</v>
      </c>
      <c r="P97">
        <f t="shared" si="17"/>
        <v>48444</v>
      </c>
      <c r="Q97">
        <f t="shared" si="18"/>
        <v>48417</v>
      </c>
      <c r="R97" t="s">
        <v>186</v>
      </c>
      <c r="S97" t="str">
        <f ca="1"/>
        <v>F34</v>
      </c>
      <c r="T97" s="8"/>
      <c r="V97" s="7"/>
      <c r="W97" s="8"/>
    </row>
    <row r="98" spans="9:23" x14ac:dyDescent="0.25">
      <c r="I98" s="32">
        <f t="shared" si="14"/>
        <v>48458</v>
      </c>
      <c r="J98" t="s">
        <v>78</v>
      </c>
      <c r="K98" s="8" t="str">
        <f ca="1"/>
        <v>F34</v>
      </c>
      <c r="M98" s="7">
        <f t="shared" si="19"/>
        <v>10</v>
      </c>
      <c r="N98" t="str">
        <f t="shared" si="15"/>
        <v>32</v>
      </c>
      <c r="O98">
        <f t="shared" si="16"/>
        <v>48502</v>
      </c>
      <c r="P98">
        <f t="shared" si="17"/>
        <v>48472</v>
      </c>
      <c r="Q98">
        <f t="shared" si="18"/>
        <v>48445</v>
      </c>
      <c r="R98" t="s">
        <v>78</v>
      </c>
      <c r="S98" t="str">
        <f ca="1"/>
        <v>G34</v>
      </c>
      <c r="T98" s="8"/>
      <c r="V98" s="7"/>
      <c r="W98" s="8"/>
    </row>
    <row r="99" spans="9:23" x14ac:dyDescent="0.25">
      <c r="I99" s="32">
        <f t="shared" si="14"/>
        <v>48488</v>
      </c>
      <c r="J99" t="s">
        <v>187</v>
      </c>
      <c r="K99" s="8" t="str">
        <f ca="1"/>
        <v>G34</v>
      </c>
      <c r="M99" s="7">
        <f t="shared" si="19"/>
        <v>11</v>
      </c>
      <c r="N99" t="str">
        <f t="shared" si="15"/>
        <v>32</v>
      </c>
      <c r="O99">
        <f t="shared" si="16"/>
        <v>48537</v>
      </c>
      <c r="P99">
        <f t="shared" si="17"/>
        <v>48507</v>
      </c>
      <c r="Q99">
        <f t="shared" si="18"/>
        <v>48473</v>
      </c>
      <c r="R99" t="s">
        <v>187</v>
      </c>
      <c r="S99" t="str">
        <f ca="1"/>
        <v>H34</v>
      </c>
      <c r="T99" s="8"/>
      <c r="V99" s="7"/>
      <c r="W99" s="8"/>
    </row>
    <row r="100" spans="9:23" x14ac:dyDescent="0.25">
      <c r="I100" s="32">
        <f t="shared" si="14"/>
        <v>48519</v>
      </c>
      <c r="J100" t="s">
        <v>188</v>
      </c>
      <c r="K100" s="8" t="str">
        <f ca="1"/>
        <v>H34</v>
      </c>
      <c r="M100" s="7">
        <f t="shared" si="19"/>
        <v>12</v>
      </c>
      <c r="N100" t="str">
        <f t="shared" si="15"/>
        <v>32</v>
      </c>
      <c r="O100">
        <f t="shared" si="16"/>
        <v>48565</v>
      </c>
      <c r="P100">
        <f t="shared" si="17"/>
        <v>48535</v>
      </c>
      <c r="Q100">
        <f t="shared" si="18"/>
        <v>48508</v>
      </c>
      <c r="R100" t="s">
        <v>188</v>
      </c>
      <c r="S100" t="str">
        <f ca="1"/>
        <v>J34</v>
      </c>
      <c r="T100" s="8"/>
      <c r="V100" s="7"/>
      <c r="W100" s="8"/>
    </row>
    <row r="101" spans="9:23" x14ac:dyDescent="0.25">
      <c r="I101" s="32">
        <f t="shared" si="14"/>
        <v>48549</v>
      </c>
      <c r="J101" t="s">
        <v>125</v>
      </c>
      <c r="K101" s="8" t="str">
        <f ca="1"/>
        <v>J34</v>
      </c>
      <c r="M101" s="7">
        <f t="shared" si="19"/>
        <v>1</v>
      </c>
      <c r="N101" t="str">
        <f t="shared" si="15"/>
        <v>33</v>
      </c>
      <c r="O101">
        <f t="shared" si="16"/>
        <v>48600</v>
      </c>
      <c r="P101">
        <f t="shared" si="17"/>
        <v>48570</v>
      </c>
      <c r="Q101">
        <f t="shared" si="18"/>
        <v>48536</v>
      </c>
      <c r="R101" t="s">
        <v>125</v>
      </c>
      <c r="S101" t="str">
        <f ca="1"/>
        <v>K34</v>
      </c>
      <c r="T101" s="8"/>
      <c r="V101" s="7"/>
      <c r="W101" s="8"/>
    </row>
    <row r="102" spans="9:23" x14ac:dyDescent="0.25">
      <c r="I102" s="32">
        <f t="shared" si="14"/>
        <v>48580</v>
      </c>
      <c r="J102" t="s">
        <v>189</v>
      </c>
      <c r="K102" s="8" t="str">
        <f ca="1"/>
        <v>K34</v>
      </c>
      <c r="M102" s="7">
        <f t="shared" si="19"/>
        <v>2</v>
      </c>
      <c r="N102" t="str">
        <f t="shared" ref="N102:N125" si="20">IF(M102&gt;1, RIGHT(R102,2),RIGHT(R103,2))</f>
        <v>33</v>
      </c>
      <c r="O102">
        <f t="shared" ref="O102:O125" si="21">DATE(N102+100, M102, 1) + 14 + MOD(6 - WEEKDAY(DATE(N102+100, M102, 1)), 7)</f>
        <v>48628</v>
      </c>
      <c r="P102">
        <f t="shared" ref="P102:P125" si="22">O102-30</f>
        <v>48598</v>
      </c>
      <c r="Q102">
        <f t="shared" ref="Q102:Q126" si="23">P101+1</f>
        <v>48571</v>
      </c>
      <c r="R102" t="s">
        <v>189</v>
      </c>
      <c r="S102" t="str">
        <f ca="1"/>
        <v>M34</v>
      </c>
      <c r="T102" s="8"/>
      <c r="V102" s="7"/>
      <c r="W102" s="8"/>
    </row>
    <row r="103" spans="9:23" x14ac:dyDescent="0.25">
      <c r="I103" s="32">
        <f t="shared" si="14"/>
        <v>48611</v>
      </c>
      <c r="J103" t="s">
        <v>190</v>
      </c>
      <c r="K103" s="8" t="str">
        <f ca="1"/>
        <v>M34</v>
      </c>
      <c r="M103" s="7">
        <f t="shared" si="19"/>
        <v>3</v>
      </c>
      <c r="N103" t="str">
        <f t="shared" si="20"/>
        <v>33</v>
      </c>
      <c r="O103">
        <f t="shared" si="21"/>
        <v>48656</v>
      </c>
      <c r="P103">
        <f t="shared" si="22"/>
        <v>48626</v>
      </c>
      <c r="Q103">
        <f t="shared" si="23"/>
        <v>48599</v>
      </c>
      <c r="R103" t="s">
        <v>190</v>
      </c>
      <c r="S103" t="str">
        <f ca="1"/>
        <v>N34</v>
      </c>
      <c r="T103" s="8"/>
      <c r="V103" s="7"/>
      <c r="W103" s="8"/>
    </row>
    <row r="104" spans="9:23" x14ac:dyDescent="0.25">
      <c r="I104" s="32">
        <f t="shared" si="14"/>
        <v>48639</v>
      </c>
      <c r="J104" t="s">
        <v>126</v>
      </c>
      <c r="K104" s="8" t="str">
        <f ca="1"/>
        <v>N34</v>
      </c>
      <c r="M104" s="7">
        <f t="shared" si="19"/>
        <v>4</v>
      </c>
      <c r="N104" t="str">
        <f t="shared" si="20"/>
        <v>33</v>
      </c>
      <c r="O104">
        <f t="shared" si="21"/>
        <v>48684</v>
      </c>
      <c r="P104">
        <f t="shared" si="22"/>
        <v>48654</v>
      </c>
      <c r="Q104">
        <f t="shared" si="23"/>
        <v>48627</v>
      </c>
      <c r="R104" t="s">
        <v>126</v>
      </c>
      <c r="S104" t="str">
        <f ca="1"/>
        <v>Q34</v>
      </c>
      <c r="T104" s="8"/>
      <c r="V104" s="7"/>
      <c r="W104" s="8"/>
    </row>
    <row r="105" spans="9:23" x14ac:dyDescent="0.25">
      <c r="I105" s="32">
        <f t="shared" si="14"/>
        <v>48670</v>
      </c>
      <c r="J105" t="s">
        <v>191</v>
      </c>
      <c r="K105" s="8" t="str">
        <f ca="1"/>
        <v>Q34</v>
      </c>
      <c r="M105" s="7">
        <f t="shared" si="19"/>
        <v>5</v>
      </c>
      <c r="N105" t="str">
        <f t="shared" si="20"/>
        <v>33</v>
      </c>
      <c r="O105">
        <f t="shared" si="21"/>
        <v>48719</v>
      </c>
      <c r="P105">
        <f t="shared" si="22"/>
        <v>48689</v>
      </c>
      <c r="Q105">
        <f t="shared" si="23"/>
        <v>48655</v>
      </c>
      <c r="R105" t="s">
        <v>191</v>
      </c>
      <c r="S105" t="str">
        <f ca="1"/>
        <v>U34</v>
      </c>
      <c r="T105" s="8"/>
      <c r="V105" s="7"/>
      <c r="W105" s="8"/>
    </row>
    <row r="106" spans="9:23" x14ac:dyDescent="0.25">
      <c r="I106" s="32">
        <f t="shared" si="14"/>
        <v>48700</v>
      </c>
      <c r="J106" t="s">
        <v>192</v>
      </c>
      <c r="K106" s="8" t="str">
        <f ca="1"/>
        <v>U34</v>
      </c>
      <c r="M106" s="7">
        <f t="shared" si="19"/>
        <v>6</v>
      </c>
      <c r="N106" t="str">
        <f t="shared" si="20"/>
        <v>33</v>
      </c>
      <c r="O106">
        <f t="shared" si="21"/>
        <v>48747</v>
      </c>
      <c r="P106">
        <f t="shared" si="22"/>
        <v>48717</v>
      </c>
      <c r="Q106">
        <f t="shared" si="23"/>
        <v>48690</v>
      </c>
      <c r="R106" t="s">
        <v>192</v>
      </c>
      <c r="S106" t="str">
        <f ca="1"/>
        <v>V34</v>
      </c>
      <c r="T106" s="8"/>
      <c r="V106" s="7"/>
      <c r="W106" s="8"/>
    </row>
    <row r="107" spans="9:23" x14ac:dyDescent="0.25">
      <c r="I107" s="32">
        <f t="shared" si="14"/>
        <v>48731</v>
      </c>
      <c r="J107" t="s">
        <v>127</v>
      </c>
      <c r="K107" s="8" t="str">
        <f ca="1"/>
        <v>V34</v>
      </c>
      <c r="M107" s="7">
        <f t="shared" si="19"/>
        <v>7</v>
      </c>
      <c r="N107" t="str">
        <f t="shared" si="20"/>
        <v>33</v>
      </c>
      <c r="O107">
        <f t="shared" si="21"/>
        <v>48775</v>
      </c>
      <c r="P107">
        <f t="shared" si="22"/>
        <v>48745</v>
      </c>
      <c r="Q107">
        <f t="shared" si="23"/>
        <v>48718</v>
      </c>
      <c r="R107" t="s">
        <v>127</v>
      </c>
      <c r="S107" t="str">
        <f ca="1"/>
        <v>X34</v>
      </c>
      <c r="T107" s="8"/>
      <c r="V107" s="7"/>
      <c r="W107" s="8"/>
    </row>
    <row r="108" spans="9:23" x14ac:dyDescent="0.25">
      <c r="I108" s="32">
        <f t="shared" si="14"/>
        <v>48761</v>
      </c>
      <c r="J108" t="s">
        <v>193</v>
      </c>
      <c r="K108" s="8" t="str">
        <f ca="1"/>
        <v>X34</v>
      </c>
      <c r="M108" s="7">
        <f t="shared" si="19"/>
        <v>8</v>
      </c>
      <c r="N108" t="str">
        <f t="shared" si="20"/>
        <v>33</v>
      </c>
      <c r="O108">
        <f t="shared" si="21"/>
        <v>48810</v>
      </c>
      <c r="P108">
        <f t="shared" si="22"/>
        <v>48780</v>
      </c>
      <c r="Q108">
        <f t="shared" si="23"/>
        <v>48746</v>
      </c>
      <c r="R108" t="s">
        <v>193</v>
      </c>
      <c r="S108" t="str">
        <f ca="1"/>
        <v>Z34</v>
      </c>
      <c r="T108" s="8"/>
      <c r="V108" s="7"/>
      <c r="W108" s="8"/>
    </row>
    <row r="109" spans="9:23" x14ac:dyDescent="0.25">
      <c r="I109" s="32">
        <f t="shared" si="14"/>
        <v>48792</v>
      </c>
      <c r="J109" t="s">
        <v>194</v>
      </c>
      <c r="K109" s="8" t="str">
        <f ca="1"/>
        <v>Z34</v>
      </c>
      <c r="M109" s="7">
        <f t="shared" si="19"/>
        <v>9</v>
      </c>
      <c r="N109" t="str">
        <f t="shared" si="20"/>
        <v>33</v>
      </c>
      <c r="O109">
        <f t="shared" si="21"/>
        <v>48838</v>
      </c>
      <c r="P109">
        <f t="shared" si="22"/>
        <v>48808</v>
      </c>
      <c r="Q109">
        <f t="shared" si="23"/>
        <v>48781</v>
      </c>
      <c r="R109" t="s">
        <v>194</v>
      </c>
      <c r="T109" s="8"/>
      <c r="V109" s="7"/>
      <c r="W109" s="8"/>
    </row>
    <row r="110" spans="9:23" x14ac:dyDescent="0.25">
      <c r="I110" s="32">
        <f t="shared" si="14"/>
        <v>48823</v>
      </c>
      <c r="J110" t="s">
        <v>128</v>
      </c>
      <c r="K110" s="8"/>
      <c r="M110" s="7">
        <f t="shared" si="19"/>
        <v>10</v>
      </c>
      <c r="N110" t="str">
        <f t="shared" si="20"/>
        <v>33</v>
      </c>
      <c r="O110">
        <f t="shared" si="21"/>
        <v>48873</v>
      </c>
      <c r="P110">
        <f t="shared" si="22"/>
        <v>48843</v>
      </c>
      <c r="Q110">
        <f t="shared" si="23"/>
        <v>48809</v>
      </c>
      <c r="R110" t="s">
        <v>128</v>
      </c>
      <c r="T110" s="8"/>
      <c r="V110" s="7"/>
      <c r="W110" s="8"/>
    </row>
    <row r="111" spans="9:23" x14ac:dyDescent="0.25">
      <c r="I111" s="32">
        <f t="shared" si="14"/>
        <v>48853</v>
      </c>
      <c r="J111" t="s">
        <v>195</v>
      </c>
      <c r="K111" s="8"/>
      <c r="M111" s="7">
        <f t="shared" si="19"/>
        <v>11</v>
      </c>
      <c r="N111" t="str">
        <f t="shared" si="20"/>
        <v>33</v>
      </c>
      <c r="O111">
        <f t="shared" si="21"/>
        <v>48901</v>
      </c>
      <c r="P111">
        <f t="shared" si="22"/>
        <v>48871</v>
      </c>
      <c r="Q111">
        <f t="shared" si="23"/>
        <v>48844</v>
      </c>
      <c r="R111" t="s">
        <v>195</v>
      </c>
      <c r="T111" s="8"/>
      <c r="V111" s="7"/>
      <c r="W111" s="8"/>
    </row>
    <row r="112" spans="9:23" x14ac:dyDescent="0.25">
      <c r="I112" s="32">
        <f t="shared" si="14"/>
        <v>48884</v>
      </c>
      <c r="J112" t="s">
        <v>196</v>
      </c>
      <c r="K112" s="8"/>
      <c r="M112" s="7">
        <f t="shared" si="19"/>
        <v>12</v>
      </c>
      <c r="N112" t="str">
        <f t="shared" si="20"/>
        <v>33</v>
      </c>
      <c r="O112">
        <f t="shared" si="21"/>
        <v>48929</v>
      </c>
      <c r="P112">
        <f t="shared" si="22"/>
        <v>48899</v>
      </c>
      <c r="Q112">
        <f t="shared" si="23"/>
        <v>48872</v>
      </c>
      <c r="R112" t="s">
        <v>196</v>
      </c>
      <c r="T112" s="8"/>
      <c r="V112" s="7"/>
      <c r="W112" s="8"/>
    </row>
    <row r="113" spans="9:23" x14ac:dyDescent="0.25">
      <c r="I113" s="32">
        <f t="shared" si="14"/>
        <v>48914</v>
      </c>
      <c r="J113" t="s">
        <v>129</v>
      </c>
      <c r="K113" s="8"/>
      <c r="M113" s="7">
        <f t="shared" si="19"/>
        <v>1</v>
      </c>
      <c r="N113" t="str">
        <f t="shared" si="20"/>
        <v>34</v>
      </c>
      <c r="O113">
        <f t="shared" si="21"/>
        <v>48964</v>
      </c>
      <c r="P113">
        <f t="shared" si="22"/>
        <v>48934</v>
      </c>
      <c r="Q113">
        <f t="shared" si="23"/>
        <v>48900</v>
      </c>
      <c r="R113" t="s">
        <v>129</v>
      </c>
      <c r="T113" s="8"/>
      <c r="V113" s="7"/>
      <c r="W113" s="8"/>
    </row>
    <row r="114" spans="9:23" x14ac:dyDescent="0.25">
      <c r="I114" s="32">
        <f t="shared" si="14"/>
        <v>48945</v>
      </c>
      <c r="J114" t="s">
        <v>197</v>
      </c>
      <c r="K114" s="8"/>
      <c r="M114" s="7">
        <f t="shared" si="19"/>
        <v>2</v>
      </c>
      <c r="N114" t="str">
        <f t="shared" si="20"/>
        <v>34</v>
      </c>
      <c r="O114">
        <f t="shared" si="21"/>
        <v>48992</v>
      </c>
      <c r="P114">
        <f t="shared" si="22"/>
        <v>48962</v>
      </c>
      <c r="Q114">
        <f t="shared" si="23"/>
        <v>48935</v>
      </c>
      <c r="R114" t="s">
        <v>197</v>
      </c>
      <c r="T114" s="8"/>
      <c r="V114" s="7"/>
      <c r="W114" s="8"/>
    </row>
    <row r="115" spans="9:23" x14ac:dyDescent="0.25">
      <c r="I115" s="32">
        <f t="shared" si="14"/>
        <v>48976</v>
      </c>
      <c r="J115" t="s">
        <v>198</v>
      </c>
      <c r="K115" s="8"/>
      <c r="M115" s="7">
        <f t="shared" si="19"/>
        <v>3</v>
      </c>
      <c r="N115" t="str">
        <f t="shared" si="20"/>
        <v>34</v>
      </c>
      <c r="O115">
        <f t="shared" si="21"/>
        <v>49020</v>
      </c>
      <c r="P115">
        <f t="shared" si="22"/>
        <v>48990</v>
      </c>
      <c r="Q115">
        <f t="shared" si="23"/>
        <v>48963</v>
      </c>
      <c r="R115" t="s">
        <v>198</v>
      </c>
      <c r="T115" s="8"/>
      <c r="V115" s="7"/>
      <c r="W115" s="8"/>
    </row>
    <row r="116" spans="9:23" x14ac:dyDescent="0.25">
      <c r="I116" s="32">
        <f t="shared" si="14"/>
        <v>49004</v>
      </c>
      <c r="J116" t="s">
        <v>130</v>
      </c>
      <c r="K116" s="8"/>
      <c r="M116" s="7">
        <f t="shared" si="19"/>
        <v>4</v>
      </c>
      <c r="N116" t="str">
        <f t="shared" si="20"/>
        <v>34</v>
      </c>
      <c r="O116">
        <f t="shared" si="21"/>
        <v>49055</v>
      </c>
      <c r="P116">
        <f t="shared" si="22"/>
        <v>49025</v>
      </c>
      <c r="Q116">
        <f t="shared" si="23"/>
        <v>48991</v>
      </c>
      <c r="R116" t="s">
        <v>130</v>
      </c>
      <c r="T116" s="8"/>
      <c r="V116" s="7"/>
      <c r="W116" s="8"/>
    </row>
    <row r="117" spans="9:23" x14ac:dyDescent="0.25">
      <c r="I117" s="32">
        <f t="shared" si="14"/>
        <v>49035</v>
      </c>
      <c r="J117" t="s">
        <v>199</v>
      </c>
      <c r="K117" s="8"/>
      <c r="M117" s="7">
        <f t="shared" si="19"/>
        <v>5</v>
      </c>
      <c r="N117" t="str">
        <f t="shared" si="20"/>
        <v>34</v>
      </c>
      <c r="O117">
        <f t="shared" si="21"/>
        <v>49083</v>
      </c>
      <c r="P117">
        <f t="shared" si="22"/>
        <v>49053</v>
      </c>
      <c r="Q117">
        <f t="shared" si="23"/>
        <v>49026</v>
      </c>
      <c r="R117" t="s">
        <v>199</v>
      </c>
      <c r="T117" s="8"/>
      <c r="V117" s="7"/>
      <c r="W117" s="8"/>
    </row>
    <row r="118" spans="9:23" x14ac:dyDescent="0.25">
      <c r="I118" s="32">
        <f t="shared" si="14"/>
        <v>49065</v>
      </c>
      <c r="J118" t="s">
        <v>200</v>
      </c>
      <c r="K118" s="8"/>
      <c r="M118" s="7">
        <f t="shared" si="19"/>
        <v>6</v>
      </c>
      <c r="N118" t="str">
        <f t="shared" si="20"/>
        <v>34</v>
      </c>
      <c r="O118">
        <f t="shared" si="21"/>
        <v>49111</v>
      </c>
      <c r="P118">
        <f t="shared" si="22"/>
        <v>49081</v>
      </c>
      <c r="Q118">
        <f t="shared" si="23"/>
        <v>49054</v>
      </c>
      <c r="R118" t="s">
        <v>200</v>
      </c>
      <c r="T118" s="8"/>
      <c r="V118" s="7"/>
      <c r="W118" s="8"/>
    </row>
    <row r="119" spans="9:23" x14ac:dyDescent="0.25">
      <c r="I119" s="32">
        <f t="shared" si="14"/>
        <v>49096</v>
      </c>
      <c r="J119" t="s">
        <v>131</v>
      </c>
      <c r="K119" s="8"/>
      <c r="M119" s="7">
        <f t="shared" si="19"/>
        <v>7</v>
      </c>
      <c r="N119" t="str">
        <f t="shared" si="20"/>
        <v>34</v>
      </c>
      <c r="O119">
        <f t="shared" si="21"/>
        <v>49146</v>
      </c>
      <c r="P119">
        <f t="shared" si="22"/>
        <v>49116</v>
      </c>
      <c r="Q119">
        <f t="shared" si="23"/>
        <v>49082</v>
      </c>
      <c r="R119" t="s">
        <v>131</v>
      </c>
      <c r="T119" s="8"/>
      <c r="V119" s="7"/>
      <c r="W119" s="8"/>
    </row>
    <row r="120" spans="9:23" x14ac:dyDescent="0.25">
      <c r="I120" s="32">
        <f t="shared" si="14"/>
        <v>49126</v>
      </c>
      <c r="J120" t="s">
        <v>201</v>
      </c>
      <c r="K120" s="8"/>
      <c r="M120" s="7">
        <f t="shared" si="19"/>
        <v>8</v>
      </c>
      <c r="N120" t="str">
        <f t="shared" si="20"/>
        <v>34</v>
      </c>
      <c r="O120">
        <f t="shared" si="21"/>
        <v>49174</v>
      </c>
      <c r="P120">
        <f t="shared" si="22"/>
        <v>49144</v>
      </c>
      <c r="Q120">
        <f t="shared" si="23"/>
        <v>49117</v>
      </c>
      <c r="R120" t="s">
        <v>201</v>
      </c>
      <c r="T120" s="8"/>
      <c r="V120" s="7"/>
      <c r="W120" s="8"/>
    </row>
    <row r="121" spans="9:23" x14ac:dyDescent="0.25">
      <c r="I121" s="32">
        <f t="shared" si="14"/>
        <v>49157</v>
      </c>
      <c r="J121" t="s">
        <v>202</v>
      </c>
      <c r="K121" s="8"/>
      <c r="M121" s="7">
        <f t="shared" si="19"/>
        <v>9</v>
      </c>
      <c r="N121" t="str">
        <f t="shared" si="20"/>
        <v>34</v>
      </c>
      <c r="O121">
        <f t="shared" si="21"/>
        <v>49202</v>
      </c>
      <c r="P121">
        <f t="shared" si="22"/>
        <v>49172</v>
      </c>
      <c r="Q121">
        <f t="shared" si="23"/>
        <v>49145</v>
      </c>
      <c r="R121" t="s">
        <v>202</v>
      </c>
      <c r="T121" s="8"/>
      <c r="V121" s="7"/>
      <c r="W121" s="8"/>
    </row>
    <row r="122" spans="9:23" x14ac:dyDescent="0.25">
      <c r="I122" s="32">
        <f t="shared" si="14"/>
        <v>49188</v>
      </c>
      <c r="J122" t="s">
        <v>132</v>
      </c>
      <c r="K122" s="8"/>
      <c r="M122" s="7">
        <f t="shared" si="19"/>
        <v>10</v>
      </c>
      <c r="N122" t="str">
        <f t="shared" si="20"/>
        <v>34</v>
      </c>
      <c r="O122">
        <f t="shared" si="21"/>
        <v>49237</v>
      </c>
      <c r="P122">
        <f t="shared" si="22"/>
        <v>49207</v>
      </c>
      <c r="Q122">
        <f t="shared" si="23"/>
        <v>49173</v>
      </c>
      <c r="R122" t="s">
        <v>132</v>
      </c>
      <c r="T122" s="8"/>
      <c r="V122" s="7"/>
      <c r="W122" s="8"/>
    </row>
    <row r="123" spans="9:23" x14ac:dyDescent="0.25">
      <c r="I123" s="32">
        <f t="shared" si="14"/>
        <v>49218</v>
      </c>
      <c r="J123" t="s">
        <v>203</v>
      </c>
      <c r="K123" s="8"/>
      <c r="M123" s="7">
        <f t="shared" si="19"/>
        <v>11</v>
      </c>
      <c r="N123" t="str">
        <f t="shared" si="20"/>
        <v>34</v>
      </c>
      <c r="O123">
        <f t="shared" si="21"/>
        <v>49265</v>
      </c>
      <c r="P123">
        <f t="shared" si="22"/>
        <v>49235</v>
      </c>
      <c r="Q123">
        <f t="shared" si="23"/>
        <v>49208</v>
      </c>
      <c r="R123" t="s">
        <v>203</v>
      </c>
      <c r="T123" s="8"/>
      <c r="V123" s="7"/>
      <c r="W123" s="8"/>
    </row>
    <row r="124" spans="9:23" x14ac:dyDescent="0.25">
      <c r="I124" s="32">
        <f t="shared" si="14"/>
        <v>49249</v>
      </c>
      <c r="J124" t="s">
        <v>204</v>
      </c>
      <c r="K124" s="8"/>
      <c r="M124" s="7">
        <f t="shared" si="19"/>
        <v>12</v>
      </c>
      <c r="N124" t="str">
        <f t="shared" si="20"/>
        <v>34</v>
      </c>
      <c r="O124">
        <f t="shared" si="21"/>
        <v>49293</v>
      </c>
      <c r="P124">
        <f t="shared" si="22"/>
        <v>49263</v>
      </c>
      <c r="Q124">
        <f t="shared" si="23"/>
        <v>49236</v>
      </c>
      <c r="R124" t="s">
        <v>204</v>
      </c>
      <c r="T124" s="8"/>
      <c r="V124" s="7"/>
      <c r="W124" s="8"/>
    </row>
    <row r="125" spans="9:23" x14ac:dyDescent="0.25">
      <c r="I125" s="35">
        <f t="shared" si="14"/>
        <v>49279</v>
      </c>
      <c r="J125" s="13" t="s">
        <v>133</v>
      </c>
      <c r="K125" s="14"/>
      <c r="M125" s="7">
        <f t="shared" si="19"/>
        <v>1</v>
      </c>
      <c r="N125" t="str">
        <f t="shared" si="20"/>
        <v>35</v>
      </c>
      <c r="O125">
        <f t="shared" si="21"/>
        <v>49328</v>
      </c>
      <c r="P125">
        <f t="shared" si="22"/>
        <v>49298</v>
      </c>
      <c r="Q125">
        <f t="shared" si="23"/>
        <v>49264</v>
      </c>
      <c r="R125" t="s">
        <v>133</v>
      </c>
      <c r="T125" s="8"/>
      <c r="V125" s="7"/>
      <c r="W125" s="8"/>
    </row>
    <row r="126" spans="9:23" x14ac:dyDescent="0.25">
      <c r="M126" s="7">
        <f t="shared" si="19"/>
        <v>4</v>
      </c>
      <c r="N126" s="13"/>
      <c r="O126" s="13"/>
      <c r="P126" s="13"/>
      <c r="Q126" s="13">
        <f t="shared" si="23"/>
        <v>49299</v>
      </c>
      <c r="R126" s="13" t="s">
        <v>134</v>
      </c>
      <c r="S126" s="13"/>
      <c r="T126" s="14"/>
      <c r="V126" s="12"/>
      <c r="W126" s="14"/>
    </row>
    <row r="130" spans="9:10" x14ac:dyDescent="0.25">
      <c r="I130" s="36" t="s">
        <v>1</v>
      </c>
      <c r="J130" s="4">
        <v>1</v>
      </c>
    </row>
    <row r="131" spans="9:10" x14ac:dyDescent="0.25">
      <c r="I131" s="37" t="s">
        <v>7</v>
      </c>
      <c r="J131" s="8">
        <v>2</v>
      </c>
    </row>
    <row r="132" spans="9:10" x14ac:dyDescent="0.25">
      <c r="I132" s="37" t="s">
        <v>12</v>
      </c>
      <c r="J132" s="8">
        <v>3</v>
      </c>
    </row>
    <row r="133" spans="9:10" x14ac:dyDescent="0.25">
      <c r="I133" s="37" t="s">
        <v>16</v>
      </c>
      <c r="J133" s="8">
        <v>4</v>
      </c>
    </row>
    <row r="134" spans="9:10" x14ac:dyDescent="0.25">
      <c r="I134" s="37" t="s">
        <v>20</v>
      </c>
      <c r="J134" s="8">
        <v>5</v>
      </c>
    </row>
    <row r="135" spans="9:10" x14ac:dyDescent="0.25">
      <c r="I135" s="37" t="s">
        <v>24</v>
      </c>
      <c r="J135" s="8">
        <v>6</v>
      </c>
    </row>
    <row r="136" spans="9:10" x14ac:dyDescent="0.25">
      <c r="I136" s="37" t="s">
        <v>27</v>
      </c>
      <c r="J136" s="8">
        <v>7</v>
      </c>
    </row>
    <row r="137" spans="9:10" x14ac:dyDescent="0.25">
      <c r="I137" s="37" t="s">
        <v>32</v>
      </c>
      <c r="J137" s="8">
        <v>8</v>
      </c>
    </row>
    <row r="138" spans="9:10" x14ac:dyDescent="0.25">
      <c r="I138" s="37" t="s">
        <v>37</v>
      </c>
      <c r="J138" s="8">
        <v>9</v>
      </c>
    </row>
    <row r="139" spans="9:10" x14ac:dyDescent="0.25">
      <c r="I139" s="37" t="s">
        <v>40</v>
      </c>
      <c r="J139" s="8">
        <v>10</v>
      </c>
    </row>
    <row r="140" spans="9:10" x14ac:dyDescent="0.25">
      <c r="I140" s="37" t="s">
        <v>45</v>
      </c>
      <c r="J140" s="8">
        <v>11</v>
      </c>
    </row>
    <row r="141" spans="9:10" ht="15.75" thickBot="1" x14ac:dyDescent="0.3">
      <c r="I141" s="38" t="s">
        <v>49</v>
      </c>
      <c r="J141" s="39">
        <v>12</v>
      </c>
    </row>
  </sheetData>
  <pageMargins left="0.7" right="0.7" top="0.75" bottom="0.75" header="0.3" footer="0.3"/>
  <pageSetup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F2E3-4C6E-4BBA-ABFB-63BCC5218981}">
  <dimension ref="A1:W6"/>
  <sheetViews>
    <sheetView workbookViewId="0">
      <selection activeCell="N5" sqref="N5"/>
    </sheetView>
  </sheetViews>
  <sheetFormatPr defaultRowHeight="15" x14ac:dyDescent="0.25"/>
  <cols>
    <col min="22" max="23" width="10.42578125" bestFit="1" customWidth="1"/>
  </cols>
  <sheetData>
    <row r="1" spans="1:23" x14ac:dyDescent="0.25">
      <c r="A1" s="16" t="s">
        <v>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  <c r="S1" s="18"/>
      <c r="T1" s="18"/>
      <c r="U1" s="17"/>
    </row>
    <row r="2" spans="1:23" x14ac:dyDescent="0.25">
      <c r="A2" s="19" t="s">
        <v>81</v>
      </c>
      <c r="B2" s="20">
        <v>46190</v>
      </c>
      <c r="C2" s="20">
        <v>46232</v>
      </c>
      <c r="D2" s="20">
        <v>46281</v>
      </c>
      <c r="E2" s="20">
        <v>46323</v>
      </c>
      <c r="F2" s="20">
        <v>46365</v>
      </c>
      <c r="G2" s="20">
        <v>46414</v>
      </c>
      <c r="H2" s="20">
        <v>46463</v>
      </c>
      <c r="I2" s="20">
        <v>46505</v>
      </c>
      <c r="J2" s="20">
        <v>46547</v>
      </c>
      <c r="K2" s="20">
        <v>46596</v>
      </c>
      <c r="L2" s="20">
        <v>46645</v>
      </c>
      <c r="M2" s="20">
        <v>46687</v>
      </c>
      <c r="N2" s="20">
        <v>46729</v>
      </c>
      <c r="O2" s="20">
        <v>46778</v>
      </c>
      <c r="P2" s="20">
        <v>46827</v>
      </c>
      <c r="Q2" s="20">
        <v>46838</v>
      </c>
      <c r="R2" s="20"/>
      <c r="S2" s="20"/>
      <c r="T2" s="21"/>
      <c r="U2" s="21"/>
    </row>
    <row r="3" spans="1:23" x14ac:dyDescent="0.25">
      <c r="A3" s="19" t="s">
        <v>82</v>
      </c>
      <c r="B3" s="20">
        <v>46184</v>
      </c>
      <c r="C3" s="20">
        <v>46226</v>
      </c>
      <c r="D3" s="20">
        <v>46275</v>
      </c>
      <c r="E3" s="20">
        <v>46324</v>
      </c>
      <c r="F3" s="20">
        <v>46373</v>
      </c>
      <c r="G3" s="20">
        <v>46422</v>
      </c>
      <c r="H3" s="20">
        <v>46464</v>
      </c>
      <c r="I3" s="20">
        <v>46506</v>
      </c>
      <c r="J3" s="20">
        <v>46548</v>
      </c>
      <c r="K3" s="21">
        <v>46225</v>
      </c>
      <c r="L3" s="21">
        <v>46639</v>
      </c>
      <c r="M3" s="20">
        <v>46688</v>
      </c>
      <c r="N3" s="20">
        <v>46737</v>
      </c>
      <c r="O3" s="20">
        <v>46786</v>
      </c>
      <c r="P3" s="20">
        <v>46835</v>
      </c>
      <c r="Q3" s="20">
        <v>46877</v>
      </c>
      <c r="R3" s="20">
        <v>46912</v>
      </c>
      <c r="S3" s="20">
        <v>46954</v>
      </c>
      <c r="T3" s="21">
        <v>47003</v>
      </c>
      <c r="U3" s="21">
        <v>47038</v>
      </c>
      <c r="V3" s="21">
        <v>47094</v>
      </c>
      <c r="W3" s="21"/>
    </row>
    <row r="4" spans="1:23" x14ac:dyDescent="0.25">
      <c r="A4" s="19" t="s">
        <v>83</v>
      </c>
      <c r="B4" s="20">
        <v>46191</v>
      </c>
      <c r="C4" s="20">
        <v>46233</v>
      </c>
      <c r="D4" s="20">
        <v>46282</v>
      </c>
      <c r="E4" s="20">
        <v>46331</v>
      </c>
      <c r="F4" s="20">
        <v>46373</v>
      </c>
      <c r="G4" s="20">
        <v>46422</v>
      </c>
      <c r="H4" s="20">
        <v>46464</v>
      </c>
      <c r="I4" s="20">
        <v>46506</v>
      </c>
      <c r="J4" s="20">
        <v>46555</v>
      </c>
      <c r="K4" s="20">
        <v>46597</v>
      </c>
      <c r="L4" s="20">
        <v>46646</v>
      </c>
      <c r="M4" s="21">
        <v>46695</v>
      </c>
      <c r="N4" s="21">
        <v>46737</v>
      </c>
      <c r="O4" s="21"/>
      <c r="P4" s="21"/>
      <c r="Q4" s="21"/>
      <c r="R4" s="21"/>
      <c r="S4" s="21"/>
      <c r="T4" s="21"/>
      <c r="U4" s="20"/>
    </row>
    <row r="5" spans="1:23" x14ac:dyDescent="0.25">
      <c r="A5" s="19" t="s">
        <v>84</v>
      </c>
      <c r="B5" s="20">
        <v>46001</v>
      </c>
      <c r="C5" s="20">
        <v>46050</v>
      </c>
      <c r="D5" s="20">
        <v>46099</v>
      </c>
      <c r="E5" s="20">
        <v>46141</v>
      </c>
      <c r="F5" s="20">
        <v>46183</v>
      </c>
      <c r="G5" s="20">
        <v>46218</v>
      </c>
      <c r="H5" s="20">
        <v>46267</v>
      </c>
      <c r="I5" s="20">
        <v>46323</v>
      </c>
      <c r="J5" s="20">
        <v>46365</v>
      </c>
      <c r="K5" s="20"/>
      <c r="L5" s="20"/>
      <c r="M5" s="20"/>
      <c r="N5" s="20"/>
      <c r="O5" s="20"/>
      <c r="P5" s="20"/>
      <c r="Q5" s="21"/>
      <c r="R5" s="20"/>
      <c r="S5" s="20"/>
      <c r="T5" s="20"/>
      <c r="U5" s="20"/>
    </row>
    <row r="6" spans="1:23" x14ac:dyDescent="0.25">
      <c r="A6" s="19" t="s">
        <v>85</v>
      </c>
      <c r="B6" s="20">
        <v>45827</v>
      </c>
      <c r="C6" s="20">
        <v>45925</v>
      </c>
      <c r="D6" s="20">
        <v>46002</v>
      </c>
      <c r="E6" s="20">
        <v>46100</v>
      </c>
      <c r="F6" s="20">
        <v>46191</v>
      </c>
      <c r="G6" s="20">
        <v>46289</v>
      </c>
      <c r="H6" s="20">
        <v>46366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23A9-63B8-463E-9D59-503613F5783C}">
  <dimension ref="A1:C52"/>
  <sheetViews>
    <sheetView topLeftCell="A7" workbookViewId="0">
      <selection activeCell="A44" sqref="A44"/>
    </sheetView>
  </sheetViews>
  <sheetFormatPr defaultRowHeight="15" x14ac:dyDescent="0.25"/>
  <cols>
    <col min="1" max="1" width="49.140625" customWidth="1"/>
    <col min="2" max="2" width="17.85546875" customWidth="1"/>
    <col min="3" max="3" width="10.5703125" customWidth="1"/>
  </cols>
  <sheetData>
    <row r="1" spans="1:3" x14ac:dyDescent="0.25">
      <c r="A1" s="53" t="s">
        <v>290</v>
      </c>
      <c r="B1" s="53" t="s">
        <v>291</v>
      </c>
      <c r="C1" s="53" t="s">
        <v>292</v>
      </c>
    </row>
    <row r="2" spans="1:3" x14ac:dyDescent="0.25">
      <c r="A2" t="s">
        <v>301</v>
      </c>
      <c r="B2" t="s">
        <v>228</v>
      </c>
      <c r="C2" t="s">
        <v>228</v>
      </c>
    </row>
    <row r="4" spans="1:3" x14ac:dyDescent="0.25">
      <c r="A4" t="s">
        <v>262</v>
      </c>
      <c r="B4" t="s">
        <v>229</v>
      </c>
      <c r="C4" t="s">
        <v>293</v>
      </c>
    </row>
    <row r="5" spans="1:3" x14ac:dyDescent="0.25">
      <c r="A5" t="s">
        <v>219</v>
      </c>
      <c r="B5" t="s">
        <v>230</v>
      </c>
      <c r="C5" t="s">
        <v>293</v>
      </c>
    </row>
    <row r="6" spans="1:3" x14ac:dyDescent="0.25">
      <c r="A6" t="s">
        <v>220</v>
      </c>
      <c r="B6" t="s">
        <v>231</v>
      </c>
      <c r="C6" t="s">
        <v>293</v>
      </c>
    </row>
    <row r="8" spans="1:3" x14ac:dyDescent="0.25">
      <c r="A8" t="s">
        <v>221</v>
      </c>
      <c r="B8" t="s">
        <v>232</v>
      </c>
      <c r="C8" t="s">
        <v>296</v>
      </c>
    </row>
    <row r="9" spans="1:3" x14ac:dyDescent="0.25">
      <c r="A9" t="s">
        <v>222</v>
      </c>
      <c r="B9" t="s">
        <v>234</v>
      </c>
      <c r="C9" t="s">
        <v>296</v>
      </c>
    </row>
    <row r="11" spans="1:3" x14ac:dyDescent="0.25">
      <c r="A11" t="s">
        <v>222</v>
      </c>
      <c r="B11" t="s">
        <v>235</v>
      </c>
      <c r="C11" t="s">
        <v>296</v>
      </c>
    </row>
    <row r="12" spans="1:3" x14ac:dyDescent="0.25">
      <c r="A12" t="s">
        <v>223</v>
      </c>
      <c r="B12" t="s">
        <v>233</v>
      </c>
      <c r="C12" t="s">
        <v>296</v>
      </c>
    </row>
    <row r="14" spans="1:3" x14ac:dyDescent="0.25">
      <c r="A14" t="s">
        <v>225</v>
      </c>
      <c r="B14" t="s">
        <v>236</v>
      </c>
      <c r="C14" t="s">
        <v>296</v>
      </c>
    </row>
    <row r="15" spans="1:3" x14ac:dyDescent="0.25">
      <c r="A15" t="s">
        <v>224</v>
      </c>
      <c r="B15" t="s">
        <v>237</v>
      </c>
      <c r="C15" t="s">
        <v>296</v>
      </c>
    </row>
    <row r="16" spans="1:3" x14ac:dyDescent="0.25">
      <c r="A16" t="s">
        <v>226</v>
      </c>
      <c r="B16" t="s">
        <v>238</v>
      </c>
      <c r="C16" t="s">
        <v>296</v>
      </c>
    </row>
    <row r="17" spans="1:3" x14ac:dyDescent="0.25">
      <c r="A17" t="s">
        <v>227</v>
      </c>
      <c r="B17" t="s">
        <v>239</v>
      </c>
      <c r="C17" t="s">
        <v>296</v>
      </c>
    </row>
    <row r="19" spans="1:3" x14ac:dyDescent="0.25">
      <c r="A19" t="s">
        <v>240</v>
      </c>
      <c r="B19" t="s">
        <v>251</v>
      </c>
      <c r="C19" t="s">
        <v>294</v>
      </c>
    </row>
    <row r="20" spans="1:3" x14ac:dyDescent="0.25">
      <c r="A20" t="s">
        <v>241</v>
      </c>
      <c r="B20" t="s">
        <v>252</v>
      </c>
      <c r="C20" t="s">
        <v>294</v>
      </c>
    </row>
    <row r="22" spans="1:3" x14ac:dyDescent="0.25">
      <c r="A22" t="s">
        <v>242</v>
      </c>
      <c r="B22" t="s">
        <v>253</v>
      </c>
      <c r="C22" t="s">
        <v>294</v>
      </c>
    </row>
    <row r="23" spans="1:3" x14ac:dyDescent="0.25">
      <c r="A23" t="s">
        <v>243</v>
      </c>
      <c r="B23" t="s">
        <v>254</v>
      </c>
      <c r="C23" t="s">
        <v>294</v>
      </c>
    </row>
    <row r="24" spans="1:3" x14ac:dyDescent="0.25">
      <c r="A24" t="s">
        <v>244</v>
      </c>
      <c r="B24" t="s">
        <v>255</v>
      </c>
      <c r="C24" t="s">
        <v>294</v>
      </c>
    </row>
    <row r="25" spans="1:3" x14ac:dyDescent="0.25">
      <c r="A25" t="s">
        <v>245</v>
      </c>
      <c r="B25" t="s">
        <v>256</v>
      </c>
      <c r="C25" t="s">
        <v>294</v>
      </c>
    </row>
    <row r="27" spans="1:3" x14ac:dyDescent="0.25">
      <c r="A27" t="s">
        <v>246</v>
      </c>
      <c r="B27" t="s">
        <v>257</v>
      </c>
      <c r="C27" t="s">
        <v>294</v>
      </c>
    </row>
    <row r="28" spans="1:3" x14ac:dyDescent="0.25">
      <c r="A28" t="s">
        <v>247</v>
      </c>
      <c r="B28" t="s">
        <v>258</v>
      </c>
      <c r="C28" t="s">
        <v>294</v>
      </c>
    </row>
    <row r="30" spans="1:3" x14ac:dyDescent="0.25">
      <c r="A30" t="s">
        <v>248</v>
      </c>
      <c r="B30" t="s">
        <v>259</v>
      </c>
      <c r="C30" t="s">
        <v>295</v>
      </c>
    </row>
    <row r="31" spans="1:3" x14ac:dyDescent="0.25">
      <c r="A31" t="s">
        <v>249</v>
      </c>
      <c r="B31" t="s">
        <v>260</v>
      </c>
      <c r="C31" t="s">
        <v>295</v>
      </c>
    </row>
    <row r="32" spans="1:3" x14ac:dyDescent="0.25">
      <c r="A32" t="s">
        <v>250</v>
      </c>
      <c r="B32" t="s">
        <v>261</v>
      </c>
      <c r="C32" t="s">
        <v>295</v>
      </c>
    </row>
    <row r="34" spans="1:3" x14ac:dyDescent="0.25">
      <c r="A34" t="s">
        <v>263</v>
      </c>
      <c r="B34" t="s">
        <v>269</v>
      </c>
      <c r="C34" t="s">
        <v>297</v>
      </c>
    </row>
    <row r="35" spans="1:3" x14ac:dyDescent="0.25">
      <c r="A35" t="s">
        <v>264</v>
      </c>
      <c r="B35" t="s">
        <v>270</v>
      </c>
      <c r="C35" t="s">
        <v>297</v>
      </c>
    </row>
    <row r="36" spans="1:3" x14ac:dyDescent="0.25">
      <c r="A36" t="s">
        <v>265</v>
      </c>
      <c r="B36" t="s">
        <v>271</v>
      </c>
      <c r="C36" t="s">
        <v>297</v>
      </c>
    </row>
    <row r="37" spans="1:3" x14ac:dyDescent="0.25">
      <c r="A37" t="s">
        <v>266</v>
      </c>
      <c r="B37" t="s">
        <v>272</v>
      </c>
      <c r="C37" t="s">
        <v>297</v>
      </c>
    </row>
    <row r="39" spans="1:3" x14ac:dyDescent="0.25">
      <c r="A39" t="s">
        <v>277</v>
      </c>
      <c r="B39" t="s">
        <v>273</v>
      </c>
      <c r="C39" t="s">
        <v>298</v>
      </c>
    </row>
    <row r="40" spans="1:3" x14ac:dyDescent="0.25">
      <c r="A40" t="s">
        <v>267</v>
      </c>
      <c r="B40" t="s">
        <v>274</v>
      </c>
      <c r="C40" t="s">
        <v>298</v>
      </c>
    </row>
    <row r="41" spans="1:3" x14ac:dyDescent="0.25">
      <c r="A41" t="s">
        <v>268</v>
      </c>
      <c r="B41" t="s">
        <v>275</v>
      </c>
      <c r="C41" t="s">
        <v>298</v>
      </c>
    </row>
    <row r="42" spans="1:3" x14ac:dyDescent="0.25">
      <c r="A42" t="s">
        <v>278</v>
      </c>
      <c r="B42" t="s">
        <v>276</v>
      </c>
      <c r="C42" t="s">
        <v>298</v>
      </c>
    </row>
    <row r="44" spans="1:3" x14ac:dyDescent="0.25">
      <c r="A44" t="s">
        <v>302</v>
      </c>
      <c r="B44" t="s">
        <v>282</v>
      </c>
      <c r="C44" t="s">
        <v>299</v>
      </c>
    </row>
    <row r="45" spans="1:3" x14ac:dyDescent="0.25">
      <c r="A45" t="s">
        <v>279</v>
      </c>
      <c r="B45" t="s">
        <v>283</v>
      </c>
      <c r="C45" t="s">
        <v>299</v>
      </c>
    </row>
    <row r="46" spans="1:3" x14ac:dyDescent="0.25">
      <c r="A46" t="s">
        <v>280</v>
      </c>
      <c r="B46" t="s">
        <v>284</v>
      </c>
      <c r="C46" t="s">
        <v>299</v>
      </c>
    </row>
    <row r="47" spans="1:3" x14ac:dyDescent="0.25">
      <c r="A47" t="s">
        <v>281</v>
      </c>
      <c r="B47" t="s">
        <v>285</v>
      </c>
      <c r="C47" t="s">
        <v>299</v>
      </c>
    </row>
    <row r="49" spans="1:3" x14ac:dyDescent="0.25">
      <c r="A49" t="s">
        <v>303</v>
      </c>
      <c r="B49" t="s">
        <v>286</v>
      </c>
      <c r="C49" t="s">
        <v>300</v>
      </c>
    </row>
    <row r="50" spans="1:3" x14ac:dyDescent="0.25">
      <c r="A50" t="s">
        <v>304</v>
      </c>
      <c r="B50" t="s">
        <v>287</v>
      </c>
      <c r="C50" t="s">
        <v>300</v>
      </c>
    </row>
    <row r="51" spans="1:3" x14ac:dyDescent="0.25">
      <c r="A51" t="s">
        <v>305</v>
      </c>
      <c r="B51" t="s">
        <v>288</v>
      </c>
      <c r="C51" t="s">
        <v>300</v>
      </c>
    </row>
    <row r="52" spans="1:3" x14ac:dyDescent="0.25">
      <c r="A52" t="s">
        <v>306</v>
      </c>
      <c r="B52" t="s">
        <v>289</v>
      </c>
      <c r="C52" t="s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7C5E4A-0208-414F-BC72-DCA8BECEA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SR3</vt:lpstr>
      <vt:lpstr>ER</vt:lpstr>
      <vt:lpstr>SO3</vt:lpstr>
      <vt:lpstr>SA3</vt:lpstr>
      <vt:lpstr>CRA</vt:lpstr>
      <vt:lpstr>SR3 vs SO3</vt:lpstr>
      <vt:lpstr>SR3 vs ER</vt:lpstr>
      <vt:lpstr>ER vs SO3</vt:lpstr>
      <vt:lpstr>ER3</vt:lpstr>
      <vt:lpstr>EMP</vt:lpstr>
      <vt:lpstr>MPC</vt:lpstr>
      <vt:lpstr>VIX</vt:lpstr>
      <vt:lpstr>VOXX</vt:lpstr>
      <vt:lpstr>SR3 n-qtr</vt:lpstr>
      <vt:lpstr>ER n-qtr</vt:lpstr>
      <vt:lpstr>SR1</vt:lpstr>
      <vt:lpstr>ZQ</vt:lpstr>
      <vt:lpstr>SZI0</vt:lpstr>
      <vt:lpstr>cont list_bg</vt:lpstr>
      <vt:lpstr>MEETS_bg</vt:lpstr>
      <vt:lpstr>ratio_bg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2026-04-21T16:44:44Z</dcterms:created>
  <dcterms:modified xsi:type="dcterms:W3CDTF">2026-05-20T19:29:52Z</dcterms:modified>
</cp:coreProperties>
</file>